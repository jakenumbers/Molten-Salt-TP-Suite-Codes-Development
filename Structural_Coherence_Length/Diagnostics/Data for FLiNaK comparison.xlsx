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n\Documents\Molten-Salt-TP-Suite-Codes-Development\Structural_Coherence_Length\Diagnostics\"/>
    </mc:Choice>
  </mc:AlternateContent>
  <xr:revisionPtr revIDLastSave="0" documentId="13_ncr:1_{82F0257A-D262-4338-A7C6-C6DF7233CCE5}" xr6:coauthVersionLast="47" xr6:coauthVersionMax="47" xr10:uidLastSave="{00000000-0000-0000-0000-000000000000}"/>
  <bookViews>
    <workbookView xWindow="6015" yWindow="885" windowWidth="19185" windowHeight="14160" xr2:uid="{2501BE61-43D3-431B-A26D-D785DB43D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3" i="1"/>
</calcChain>
</file>

<file path=xl/sharedStrings.xml><?xml version="1.0" encoding="utf-8"?>
<sst xmlns="http://schemas.openxmlformats.org/spreadsheetml/2006/main" count="19" uniqueCount="12">
  <si>
    <t>Temp (K)</t>
  </si>
  <si>
    <t>SCM with Exp PDF</t>
  </si>
  <si>
    <t>KTM</t>
  </si>
  <si>
    <t>MD Gallagher (https://www-sciencedirect-com.ornl.idm.oclc.org/science/article/pii/S0167732222006894#f0010)</t>
  </si>
  <si>
    <t>MD Ishii (https://pubs.acs.org/doi/10.1021/jp411781n)</t>
  </si>
  <si>
    <t>Exp Yoshiki Ishii (https://pubs.acs.org/doi/10.1021/jp411781n)</t>
  </si>
  <si>
    <t>Exp Ryan C. Gallagher (https://www.sciencedirect.com/science/article/pii/S0167732222006894?via%3Dihub)</t>
  </si>
  <si>
    <t>Exp correlation Round Robin</t>
  </si>
  <si>
    <t>Models</t>
  </si>
  <si>
    <t>Experiments</t>
  </si>
  <si>
    <t>MD</t>
  </si>
  <si>
    <t>Merritt,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</si>
</sst>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FLiNaK</a:t>
            </a:r>
          </a:p>
        </c:rich>
      </c:tx>
      <c:layout>
        <c:manualLayout>
          <c:xMode val="edge"/>
          <c:yMode val="edge"/>
          <c:x val="0.44388019750885566"/>
          <c:y val="0.16221034437275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44080059557564E-2"/>
          <c:y val="4.7072194165094471E-2"/>
          <c:w val="0.56561052743129858"/>
          <c:h val="0.8805624405435471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Merritt, 2022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Sheet1!$K$3:$K$11</c:f>
              <c:numCache>
                <c:formatCode>#,##0.00</c:formatCode>
                <c:ptCount val="9"/>
                <c:pt idx="0">
                  <c:v>768.5</c:v>
                </c:pt>
                <c:pt idx="1">
                  <c:v>815.9</c:v>
                </c:pt>
                <c:pt idx="2">
                  <c:v>861.1</c:v>
                </c:pt>
                <c:pt idx="3">
                  <c:v>909.7</c:v>
                </c:pt>
                <c:pt idx="4">
                  <c:v>957.7</c:v>
                </c:pt>
                <c:pt idx="5" formatCode="#,##0">
                  <c:v>1007</c:v>
                </c:pt>
              </c:numCache>
            </c:numRef>
          </c:xVal>
          <c:yVal>
            <c:numRef>
              <c:f>Sheet1!$L$3:$L$11</c:f>
              <c:numCache>
                <c:formatCode>#,##0.00</c:formatCode>
                <c:ptCount val="9"/>
                <c:pt idx="0">
                  <c:v>0.82</c:v>
                </c:pt>
                <c:pt idx="1">
                  <c:v>0.75</c:v>
                </c:pt>
                <c:pt idx="2">
                  <c:v>0.85</c:v>
                </c:pt>
                <c:pt idx="3">
                  <c:v>0.77</c:v>
                </c:pt>
                <c:pt idx="4">
                  <c:v>0.68</c:v>
                </c:pt>
                <c:pt idx="5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1-4B84-A88A-99AB89D8053C}"/>
            </c:ext>
          </c:extLst>
        </c:ser>
        <c:ser>
          <c:idx val="2"/>
          <c:order val="1"/>
          <c:tx>
            <c:strRef>
              <c:f>Sheet1!$D$2</c:f>
              <c:strCache>
                <c:ptCount val="1"/>
                <c:pt idx="0">
                  <c:v>KTM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Sheet1!$C$3:$C$5</c:f>
              <c:numCache>
                <c:formatCode>General</c:formatCode>
                <c:ptCount val="3"/>
                <c:pt idx="0">
                  <c:v>738.73325213154601</c:v>
                </c:pt>
                <c:pt idx="1">
                  <c:v>989.40316686967105</c:v>
                </c:pt>
                <c:pt idx="2">
                  <c:v>1248.1120584652799</c:v>
                </c:pt>
              </c:numCache>
            </c:numRef>
          </c:xVal>
          <c:yVal>
            <c:numRef>
              <c:f>Sheet1!$D$3:$D$5</c:f>
              <c:numCache>
                <c:formatCode>General</c:formatCode>
                <c:ptCount val="3"/>
                <c:pt idx="0">
                  <c:v>0.69411764705882295</c:v>
                </c:pt>
                <c:pt idx="1">
                  <c:v>0.63235294117647001</c:v>
                </c:pt>
                <c:pt idx="2">
                  <c:v>0.57058823529411695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51-4B84-A88A-99AB89D8053C}"/>
            </c:ext>
          </c:extLst>
        </c:ser>
        <c:ser>
          <c:idx val="3"/>
          <c:order val="2"/>
          <c:tx>
            <c:strRef>
              <c:f>Sheet1!$F$2</c:f>
              <c:strCache>
                <c:ptCount val="1"/>
                <c:pt idx="0">
                  <c:v>Exp Yoshiki Ishii (https://pubs.acs.org/doi/10.1021/jp411781n)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Sheet1!$E$3:$E$7</c:f>
              <c:numCache>
                <c:formatCode>General</c:formatCode>
                <c:ptCount val="5"/>
                <c:pt idx="0">
                  <c:v>952.00668896320997</c:v>
                </c:pt>
                <c:pt idx="1">
                  <c:v>1067.8929765886201</c:v>
                </c:pt>
                <c:pt idx="2">
                  <c:v>1100.08361204013</c:v>
                </c:pt>
                <c:pt idx="3">
                  <c:v>1188.3779264213999</c:v>
                </c:pt>
                <c:pt idx="4">
                  <c:v>1250</c:v>
                </c:pt>
              </c:numCache>
            </c:numRef>
          </c:xVal>
          <c:yVal>
            <c:numRef>
              <c:f>Sheet1!$F$3:$F$7</c:f>
              <c:numCache>
                <c:formatCode>General</c:formatCode>
                <c:ptCount val="5"/>
                <c:pt idx="0">
                  <c:v>0.89679358717434798</c:v>
                </c:pt>
                <c:pt idx="1">
                  <c:v>0.80300601202404798</c:v>
                </c:pt>
                <c:pt idx="2">
                  <c:v>0.77414829659318596</c:v>
                </c:pt>
                <c:pt idx="3">
                  <c:v>0.72364729458917798</c:v>
                </c:pt>
                <c:pt idx="4">
                  <c:v>0.68937875751502997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51-4B84-A88A-99AB89D8053C}"/>
            </c:ext>
          </c:extLst>
        </c:ser>
        <c:ser>
          <c:idx val="4"/>
          <c:order val="3"/>
          <c:tx>
            <c:strRef>
              <c:f>Sheet1!$H$2</c:f>
              <c:strCache>
                <c:ptCount val="1"/>
                <c:pt idx="0">
                  <c:v>Exp Ryan C. Gallagher (https://www.sciencedirect.com/science/article/pii/S0167732222006894?via%3Dihub)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Sheet1!$G$3:$G$14</c:f>
              <c:numCache>
                <c:formatCode>#,##0.00</c:formatCode>
                <c:ptCount val="12"/>
                <c:pt idx="0">
                  <c:v>834.2</c:v>
                </c:pt>
                <c:pt idx="1">
                  <c:v>833.8</c:v>
                </c:pt>
                <c:pt idx="2">
                  <c:v>946.2</c:v>
                </c:pt>
                <c:pt idx="3">
                  <c:v>945.8</c:v>
                </c:pt>
                <c:pt idx="4">
                  <c:v>1024.9000000000001</c:v>
                </c:pt>
                <c:pt idx="5">
                  <c:v>1024.5</c:v>
                </c:pt>
                <c:pt idx="6">
                  <c:v>1024.5</c:v>
                </c:pt>
                <c:pt idx="7" formatCode="#,##0">
                  <c:v>1100</c:v>
                </c:pt>
                <c:pt idx="8" formatCode="#,##0">
                  <c:v>1100</c:v>
                </c:pt>
                <c:pt idx="9" formatCode="#,##0">
                  <c:v>1100</c:v>
                </c:pt>
                <c:pt idx="10" formatCode="#,##0">
                  <c:v>1195</c:v>
                </c:pt>
                <c:pt idx="11" formatCode="#,##0">
                  <c:v>1195</c:v>
                </c:pt>
              </c:numCache>
            </c:numRef>
          </c:xVal>
          <c:yVal>
            <c:numRef>
              <c:f>Sheet1!$H$3:$H$14</c:f>
              <c:numCache>
                <c:formatCode>#,##0.00</c:formatCode>
                <c:ptCount val="12"/>
                <c:pt idx="0">
                  <c:v>0.79</c:v>
                </c:pt>
                <c:pt idx="1">
                  <c:v>0.78</c:v>
                </c:pt>
                <c:pt idx="2">
                  <c:v>0.8</c:v>
                </c:pt>
                <c:pt idx="3">
                  <c:v>0.74</c:v>
                </c:pt>
                <c:pt idx="4">
                  <c:v>0.68</c:v>
                </c:pt>
                <c:pt idx="5">
                  <c:v>0.69</c:v>
                </c:pt>
                <c:pt idx="6">
                  <c:v>0.78</c:v>
                </c:pt>
                <c:pt idx="7">
                  <c:v>0.78</c:v>
                </c:pt>
                <c:pt idx="8">
                  <c:v>0.76</c:v>
                </c:pt>
                <c:pt idx="9">
                  <c:v>0.76</c:v>
                </c:pt>
                <c:pt idx="10">
                  <c:v>0.80700000000000005</c:v>
                </c:pt>
                <c:pt idx="11">
                  <c:v>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51-4B84-A88A-99AB89D8053C}"/>
            </c:ext>
          </c:extLst>
        </c:ser>
        <c:ser>
          <c:idx val="1"/>
          <c:order val="4"/>
          <c:tx>
            <c:strRef>
              <c:f>Sheet1!$B$2</c:f>
              <c:strCache>
                <c:ptCount val="1"/>
                <c:pt idx="0">
                  <c:v>SCM with Exp PDF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Sheet1!$A$3:$A$5</c:f>
              <c:numCache>
                <c:formatCode>0.00</c:formatCode>
                <c:ptCount val="3"/>
                <c:pt idx="0">
                  <c:v>735.07917174177805</c:v>
                </c:pt>
                <c:pt idx="1">
                  <c:v>987.94153471376296</c:v>
                </c:pt>
                <c:pt idx="2">
                  <c:v>1249.5730000000001</c:v>
                </c:pt>
              </c:numCache>
            </c:numRef>
          </c:xVal>
          <c:yVal>
            <c:numRef>
              <c:f>Sheet1!$B$3:$B$5</c:f>
              <c:numCache>
                <c:formatCode>0.00</c:formatCode>
                <c:ptCount val="3"/>
                <c:pt idx="0">
                  <c:v>0.78214285714285603</c:v>
                </c:pt>
                <c:pt idx="1">
                  <c:v>0.66470588235294104</c:v>
                </c:pt>
                <c:pt idx="2">
                  <c:v>0.54852941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51-4B84-A88A-99AB89D8053C}"/>
            </c:ext>
          </c:extLst>
        </c:ser>
        <c:ser>
          <c:idx val="5"/>
          <c:order val="5"/>
          <c:tx>
            <c:strRef>
              <c:f>Sheet1!$J$2</c:f>
              <c:strCache>
                <c:ptCount val="1"/>
                <c:pt idx="0">
                  <c:v>Exp correlation Round Robin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5"/>
            <c:spPr>
              <a:noFill/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Sheet1!$I$3:$I$6</c:f>
              <c:numCache>
                <c:formatCode>General</c:formatCode>
                <c:ptCount val="4"/>
                <c:pt idx="0">
                  <c:v>766.41</c:v>
                </c:pt>
                <c:pt idx="1">
                  <c:v>861.53070000000002</c:v>
                </c:pt>
                <c:pt idx="2">
                  <c:v>955.553</c:v>
                </c:pt>
                <c:pt idx="3">
                  <c:v>1003.4787</c:v>
                </c:pt>
              </c:numCache>
            </c:numRef>
          </c:xVal>
          <c:yVal>
            <c:numRef>
              <c:f>Sheet1!$J$3:$J$6</c:f>
              <c:numCache>
                <c:formatCode>General</c:formatCode>
                <c:ptCount val="4"/>
                <c:pt idx="0">
                  <c:v>0.66105417276720302</c:v>
                </c:pt>
                <c:pt idx="1">
                  <c:v>0.67027818448023402</c:v>
                </c:pt>
                <c:pt idx="2">
                  <c:v>0.67423133235724697</c:v>
                </c:pt>
                <c:pt idx="3">
                  <c:v>0.67818448023426003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51-4B84-A88A-99AB89D8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922815"/>
        <c:axId val="1674919487"/>
      </c:scatterChart>
      <c:valAx>
        <c:axId val="1674922815"/>
        <c:scaling>
          <c:orientation val="minMax"/>
          <c:min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19487"/>
        <c:crosses val="autoZero"/>
        <c:crossBetween val="midCat"/>
      </c:valAx>
      <c:valAx>
        <c:axId val="1674919487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22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02230971128604"/>
          <c:y val="9.6269685039370126E-2"/>
          <c:w val="0.34131102362204724"/>
          <c:h val="0.80787693205016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16</xdr:row>
      <xdr:rowOff>133349</xdr:rowOff>
    </xdr:from>
    <xdr:to>
      <xdr:col>14</xdr:col>
      <xdr:colOff>341540</xdr:colOff>
      <xdr:row>38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EFC3A-0102-444F-8900-21C75FE50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F0F1-07B9-4837-9F31-00D5FD25E6AB}">
  <dimension ref="A1:P15"/>
  <sheetViews>
    <sheetView tabSelected="1" workbookViewId="0">
      <selection activeCell="H3" sqref="A1:P15"/>
    </sheetView>
  </sheetViews>
  <sheetFormatPr defaultRowHeight="15" x14ac:dyDescent="0.25"/>
  <cols>
    <col min="2" max="2" width="10.7109375" customWidth="1"/>
  </cols>
  <sheetData>
    <row r="1" spans="1:16" x14ac:dyDescent="0.25">
      <c r="A1" t="s">
        <v>8</v>
      </c>
      <c r="E1" t="s">
        <v>9</v>
      </c>
      <c r="M1" t="s">
        <v>10</v>
      </c>
    </row>
    <row r="2" spans="1:16" x14ac:dyDescent="0.25">
      <c r="A2" t="s">
        <v>0</v>
      </c>
      <c r="B2" t="s">
        <v>1</v>
      </c>
      <c r="C2" t="s">
        <v>0</v>
      </c>
      <c r="D2" t="s">
        <v>2</v>
      </c>
      <c r="E2" t="s">
        <v>0</v>
      </c>
      <c r="F2" t="s">
        <v>5</v>
      </c>
      <c r="G2" t="s">
        <v>0</v>
      </c>
      <c r="H2" t="s">
        <v>6</v>
      </c>
      <c r="I2" t="s">
        <v>0</v>
      </c>
      <c r="J2" t="s">
        <v>7</v>
      </c>
      <c r="K2" t="s">
        <v>0</v>
      </c>
      <c r="L2" t="s">
        <v>11</v>
      </c>
      <c r="M2" t="s">
        <v>0</v>
      </c>
      <c r="N2" t="s">
        <v>3</v>
      </c>
      <c r="O2" t="s">
        <v>0</v>
      </c>
      <c r="P2" t="s">
        <v>4</v>
      </c>
    </row>
    <row r="3" spans="1:16" x14ac:dyDescent="0.25">
      <c r="A3" s="1">
        <v>735.07917174177805</v>
      </c>
      <c r="B3" s="1">
        <v>0.78214285714285603</v>
      </c>
      <c r="C3">
        <v>738.73325213154601</v>
      </c>
      <c r="D3">
        <v>0.69411764705882295</v>
      </c>
      <c r="E3">
        <v>952.00668896320997</v>
      </c>
      <c r="F3">
        <v>0.89679358717434798</v>
      </c>
      <c r="G3" s="2">
        <v>834.2</v>
      </c>
      <c r="H3" s="2">
        <v>0.79</v>
      </c>
      <c r="I3">
        <f>493.26+273.15</f>
        <v>766.41</v>
      </c>
      <c r="J3">
        <v>0.66105417276720302</v>
      </c>
      <c r="K3" s="2">
        <v>768.5</v>
      </c>
      <c r="L3" s="2">
        <v>0.82</v>
      </c>
      <c r="M3">
        <v>750.20408163265301</v>
      </c>
      <c r="N3">
        <v>0.97488247145735296</v>
      </c>
      <c r="O3">
        <v>950</v>
      </c>
      <c r="P3">
        <v>0.89600000000000002</v>
      </c>
    </row>
    <row r="4" spans="1:16" x14ac:dyDescent="0.25">
      <c r="A4" s="1">
        <v>987.94153471376296</v>
      </c>
      <c r="B4" s="1">
        <v>0.66470588235294104</v>
      </c>
      <c r="C4">
        <v>989.40316686967105</v>
      </c>
      <c r="D4">
        <v>0.63235294117647001</v>
      </c>
      <c r="E4">
        <v>1067.8929765886201</v>
      </c>
      <c r="F4">
        <v>0.80300601202404798</v>
      </c>
      <c r="G4" s="2">
        <v>833.8</v>
      </c>
      <c r="H4" s="2">
        <v>0.78</v>
      </c>
      <c r="I4">
        <f>588.3807+273.15</f>
        <v>861.53070000000002</v>
      </c>
      <c r="J4">
        <v>0.67027818448023402</v>
      </c>
      <c r="K4" s="2">
        <v>815.9</v>
      </c>
      <c r="L4" s="2">
        <v>0.75</v>
      </c>
      <c r="M4">
        <v>800.40816326530603</v>
      </c>
      <c r="N4">
        <v>0.955003357958361</v>
      </c>
      <c r="O4">
        <v>1100</v>
      </c>
      <c r="P4">
        <v>0.77300000000000002</v>
      </c>
    </row>
    <row r="5" spans="1:16" x14ac:dyDescent="0.25">
      <c r="A5" s="1">
        <v>1249.5730000000001</v>
      </c>
      <c r="B5" s="1">
        <v>0.54852941</v>
      </c>
      <c r="C5">
        <v>1248.1120584652799</v>
      </c>
      <c r="D5">
        <v>0.57058823529411695</v>
      </c>
      <c r="E5">
        <v>1100.08361204013</v>
      </c>
      <c r="F5">
        <v>0.77414829659318596</v>
      </c>
      <c r="G5" s="2">
        <v>946.2</v>
      </c>
      <c r="H5" s="2">
        <v>0.8</v>
      </c>
      <c r="I5">
        <f>682.403+273.15</f>
        <v>955.553</v>
      </c>
      <c r="J5">
        <v>0.67423133235724697</v>
      </c>
      <c r="K5" s="2">
        <v>861.1</v>
      </c>
      <c r="L5" s="2">
        <v>0.85</v>
      </c>
      <c r="M5">
        <v>849.79591836734699</v>
      </c>
      <c r="N5">
        <v>0.92169241101410304</v>
      </c>
      <c r="O5">
        <v>1250</v>
      </c>
      <c r="P5">
        <v>0.68600000000000005</v>
      </c>
    </row>
    <row r="6" spans="1:16" x14ac:dyDescent="0.25">
      <c r="A6">
        <v>1400</v>
      </c>
      <c r="B6">
        <v>0.47937580558742121</v>
      </c>
      <c r="C6">
        <v>1400</v>
      </c>
      <c r="D6">
        <v>0.53343719363333419</v>
      </c>
      <c r="E6">
        <v>1188.3779264213999</v>
      </c>
      <c r="F6">
        <v>0.72364729458917798</v>
      </c>
      <c r="G6" s="2">
        <v>945.8</v>
      </c>
      <c r="H6" s="2">
        <v>0.74</v>
      </c>
      <c r="I6">
        <f>730.3287+273.15</f>
        <v>1003.4787</v>
      </c>
      <c r="J6">
        <v>0.67818448023426003</v>
      </c>
      <c r="K6" s="2">
        <v>909.7</v>
      </c>
      <c r="L6" s="2">
        <v>0.77</v>
      </c>
      <c r="M6">
        <v>900</v>
      </c>
      <c r="N6">
        <v>0.92975151108126197</v>
      </c>
    </row>
    <row r="7" spans="1:16" x14ac:dyDescent="0.25">
      <c r="E7">
        <v>1250</v>
      </c>
      <c r="F7">
        <v>0.68937875751502997</v>
      </c>
      <c r="G7" s="2">
        <v>1024.9000000000001</v>
      </c>
      <c r="H7" s="2">
        <v>0.68</v>
      </c>
      <c r="K7" s="2">
        <v>957.7</v>
      </c>
      <c r="L7" s="2">
        <v>0.68</v>
      </c>
      <c r="M7">
        <v>950.20408163265301</v>
      </c>
      <c r="N7">
        <v>0.87924781732706503</v>
      </c>
    </row>
    <row r="8" spans="1:16" x14ac:dyDescent="0.25">
      <c r="G8" s="2">
        <v>1024.5</v>
      </c>
      <c r="H8" s="2">
        <v>0.69</v>
      </c>
      <c r="K8" s="3">
        <v>1007</v>
      </c>
      <c r="L8" s="2">
        <v>0.7</v>
      </c>
      <c r="M8">
        <v>1000</v>
      </c>
      <c r="N8">
        <v>0.82981867024848799</v>
      </c>
    </row>
    <row r="9" spans="1:16" x14ac:dyDescent="0.25">
      <c r="G9" s="2">
        <v>1024.5</v>
      </c>
      <c r="H9" s="2">
        <v>0.78</v>
      </c>
      <c r="M9">
        <v>1050.2040816326501</v>
      </c>
      <c r="N9">
        <v>0.82498321020819299</v>
      </c>
    </row>
    <row r="10" spans="1:16" x14ac:dyDescent="0.25">
      <c r="G10" s="3">
        <v>1100</v>
      </c>
      <c r="H10" s="2">
        <v>0.78</v>
      </c>
      <c r="M10">
        <v>1149.7959183673399</v>
      </c>
      <c r="N10">
        <v>0.74976494291470697</v>
      </c>
    </row>
    <row r="11" spans="1:16" x14ac:dyDescent="0.25">
      <c r="G11" s="3">
        <v>1100</v>
      </c>
      <c r="H11" s="2">
        <v>0.76</v>
      </c>
      <c r="M11">
        <v>1200</v>
      </c>
      <c r="N11">
        <v>0.73955674949630601</v>
      </c>
    </row>
    <row r="12" spans="1:16" x14ac:dyDescent="0.25">
      <c r="G12" s="3">
        <v>1100</v>
      </c>
      <c r="H12" s="2">
        <v>0.76</v>
      </c>
      <c r="M12">
        <v>1249.7959183673399</v>
      </c>
      <c r="N12">
        <v>0.70463398253861598</v>
      </c>
    </row>
    <row r="13" spans="1:16" x14ac:dyDescent="0.25">
      <c r="G13" s="3">
        <v>1195</v>
      </c>
      <c r="H13" s="2">
        <v>0.80700000000000005</v>
      </c>
      <c r="M13">
        <v>1300</v>
      </c>
      <c r="N13">
        <v>0.67938213566151695</v>
      </c>
    </row>
    <row r="14" spans="1:16" x14ac:dyDescent="0.25">
      <c r="G14" s="3">
        <v>1195</v>
      </c>
      <c r="H14" s="2">
        <v>0.85</v>
      </c>
      <c r="M14">
        <v>1350.2040816326501</v>
      </c>
      <c r="N14">
        <v>0.64983210208193398</v>
      </c>
    </row>
    <row r="15" spans="1:16" x14ac:dyDescent="0.25">
      <c r="M15">
        <v>1400</v>
      </c>
      <c r="N15">
        <v>0.62995298858294102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Munro</dc:creator>
  <cp:lastModifiedBy>Numbers, Jacob Clay</cp:lastModifiedBy>
  <dcterms:created xsi:type="dcterms:W3CDTF">2026-06-20T22:43:07Z</dcterms:created>
  <dcterms:modified xsi:type="dcterms:W3CDTF">2026-06-30T14:31:38Z</dcterms:modified>
</cp:coreProperties>
</file>