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jnumbers_vols_utk_edu/Documents/Documents/2026-Structural-Coherence-Model/"/>
    </mc:Choice>
  </mc:AlternateContent>
  <xr:revisionPtr revIDLastSave="30" documentId="13_ncr:1_{C4E62733-C08C-4ABA-84A1-FEF52F230632}" xr6:coauthVersionLast="47" xr6:coauthVersionMax="47" xr10:uidLastSave="{547EE345-4960-4B4C-B65D-953D678455F7}"/>
  <bookViews>
    <workbookView xWindow="-120" yWindow="-120" windowWidth="29040" windowHeight="15720" xr2:uid="{00000000-000D-0000-FFFF-FFFF00000000}"/>
  </bookViews>
  <sheets>
    <sheet name="Sheet1" sheetId="1" r:id="rId1"/>
    <sheet name="Sheet2" sheetId="5" r:id="rId2"/>
    <sheet name="ANL_NaCl_UCl3" sheetId="3" r:id="rId3"/>
    <sheet name="Robertson1.3CoF2" sheetId="2" r:id="rId4"/>
    <sheet name="Complexes" sheetId="4" r:id="rId5"/>
  </sheets>
  <definedNames>
    <definedName name="ExternalData_1" localSheetId="3">'Robertson1.3CoF2'!$A$1:$C$106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8" i="1" l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17" i="1"/>
  <c r="N75" i="1"/>
  <c r="M75" i="1"/>
  <c r="L280" i="1" l="1"/>
  <c r="M280" i="1"/>
  <c r="M267" i="1"/>
  <c r="L267" i="1"/>
  <c r="N25" i="1"/>
  <c r="M25" i="1"/>
  <c r="N12" i="1"/>
  <c r="M12" i="1"/>
  <c r="M7" i="1"/>
  <c r="N7" i="1"/>
  <c r="M2" i="1"/>
  <c r="N2" i="1"/>
  <c r="L2" i="4" l="1"/>
  <c r="L3" i="4"/>
  <c r="L4" i="4"/>
  <c r="L5" i="4"/>
  <c r="L6" i="4"/>
  <c r="L7" i="4" s="1"/>
  <c r="L8" i="4" s="1"/>
  <c r="L12" i="4"/>
  <c r="L13" i="4"/>
  <c r="L14" i="4"/>
  <c r="L15" i="4"/>
  <c r="L16" i="4"/>
  <c r="G7" i="4"/>
  <c r="G2" i="4" s="1"/>
  <c r="J2" i="4" s="1"/>
  <c r="G17" i="4"/>
  <c r="G14" i="4" s="1"/>
  <c r="J14" i="4" s="1"/>
  <c r="G4" i="4" l="1"/>
  <c r="J4" i="4" s="1"/>
  <c r="G15" i="4"/>
  <c r="J15" i="4" s="1"/>
  <c r="G3" i="4"/>
  <c r="J3" i="4" s="1"/>
  <c r="G6" i="4"/>
  <c r="J6" i="4" s="1"/>
  <c r="G12" i="4"/>
  <c r="J12" i="4" s="1"/>
  <c r="G13" i="4"/>
  <c r="J13" i="4" s="1"/>
  <c r="G5" i="4"/>
  <c r="J5" i="4" s="1"/>
  <c r="G16" i="4"/>
  <c r="J16" i="4" s="1"/>
  <c r="L17" i="4"/>
  <c r="L18" i="4" s="1"/>
  <c r="I3" i="3"/>
  <c r="I4" i="3"/>
  <c r="I5" i="3"/>
  <c r="I2" i="3"/>
  <c r="M3" i="3"/>
  <c r="M4" i="3"/>
  <c r="M5" i="3"/>
  <c r="M6" i="3"/>
  <c r="M2" i="3"/>
  <c r="D3" i="3"/>
  <c r="D4" i="3"/>
  <c r="D5" i="3"/>
  <c r="D6" i="3"/>
  <c r="D2" i="3"/>
  <c r="H5" i="3"/>
  <c r="H4" i="3"/>
  <c r="H3" i="3"/>
  <c r="H2" i="3"/>
  <c r="H7" i="3" s="1"/>
  <c r="C3" i="3"/>
  <c r="C4" i="3"/>
  <c r="C5" i="3"/>
  <c r="C6" i="3"/>
  <c r="C2" i="3"/>
  <c r="J7" i="4" l="1"/>
  <c r="J17" i="4"/>
  <c r="I7" i="3"/>
  <c r="M7" i="3"/>
  <c r="L7" i="3"/>
  <c r="D534" i="1"/>
  <c r="D535" i="1" s="1"/>
  <c r="D536" i="1" s="1"/>
  <c r="D537" i="1" s="1"/>
  <c r="D538" i="1" s="1"/>
  <c r="D539" i="1" s="1"/>
  <c r="D12" i="3" l="1"/>
  <c r="D13" i="3"/>
  <c r="D15" i="3"/>
  <c r="D14" i="3"/>
  <c r="D11" i="3"/>
  <c r="E106" i="2"/>
  <c r="F106" i="2" s="1"/>
  <c r="E105" i="2"/>
  <c r="F105" i="2" s="1"/>
  <c r="E104" i="2"/>
  <c r="F104" i="2" s="1"/>
  <c r="E103" i="2"/>
  <c r="F103" i="2" s="1"/>
  <c r="E102" i="2"/>
  <c r="F102" i="2" s="1"/>
  <c r="E101" i="2"/>
  <c r="F101" i="2" s="1"/>
  <c r="E100" i="2"/>
  <c r="F100" i="2" s="1"/>
  <c r="E99" i="2"/>
  <c r="F99" i="2" s="1"/>
  <c r="E98" i="2"/>
  <c r="F98" i="2" s="1"/>
  <c r="E97" i="2"/>
  <c r="F97" i="2" s="1"/>
  <c r="E96" i="2"/>
  <c r="F96" i="2" s="1"/>
  <c r="E95" i="2"/>
  <c r="F95" i="2" s="1"/>
  <c r="E94" i="2"/>
  <c r="F94" i="2" s="1"/>
  <c r="E93" i="2"/>
  <c r="F93" i="2" s="1"/>
  <c r="E92" i="2"/>
  <c r="F92" i="2" s="1"/>
  <c r="E91" i="2"/>
  <c r="F91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F84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F76" i="2"/>
  <c r="E76" i="2"/>
  <c r="E75" i="2"/>
  <c r="F75" i="2" s="1"/>
  <c r="E74" i="2"/>
  <c r="F74" i="2" s="1"/>
  <c r="E73" i="2"/>
  <c r="F73" i="2" s="1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F64" i="2"/>
  <c r="E64" i="2"/>
  <c r="E63" i="2"/>
  <c r="F63" i="2" s="1"/>
  <c r="E62" i="2"/>
  <c r="F62" i="2" s="1"/>
  <c r="F61" i="2"/>
  <c r="E61" i="2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F40" i="2"/>
  <c r="E40" i="2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I28" i="2"/>
  <c r="E28" i="2"/>
  <c r="F28" i="2" s="1"/>
  <c r="E27" i="2"/>
  <c r="F27" i="2" s="1"/>
  <c r="E26" i="2"/>
  <c r="F26" i="2" s="1"/>
  <c r="E25" i="2"/>
  <c r="F25" i="2" s="1"/>
  <c r="E24" i="2"/>
  <c r="F24" i="2" s="1"/>
  <c r="M23" i="2"/>
  <c r="L23" i="2"/>
  <c r="K23" i="2"/>
  <c r="J23" i="2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N12" i="2"/>
  <c r="J14" i="2" s="1"/>
  <c r="E12" i="2"/>
  <c r="F12" i="2" s="1"/>
  <c r="N11" i="2"/>
  <c r="K13" i="2" s="1"/>
  <c r="E11" i="2"/>
  <c r="F11" i="2" s="1"/>
  <c r="E10" i="2"/>
  <c r="F10" i="2" s="1"/>
  <c r="M9" i="2"/>
  <c r="L9" i="2"/>
  <c r="K9" i="2"/>
  <c r="E9" i="2"/>
  <c r="F9" i="2" s="1"/>
  <c r="E8" i="2"/>
  <c r="F8" i="2" s="1"/>
  <c r="J7" i="2"/>
  <c r="J9" i="2" s="1"/>
  <c r="E7" i="2"/>
  <c r="F7" i="2" s="1"/>
  <c r="E6" i="2"/>
  <c r="F6" i="2" s="1"/>
  <c r="K5" i="2"/>
  <c r="E5" i="2"/>
  <c r="F5" i="2" s="1"/>
  <c r="E4" i="2"/>
  <c r="F4" i="2" s="1"/>
  <c r="E3" i="2"/>
  <c r="F3" i="2" s="1"/>
  <c r="E2" i="2"/>
  <c r="F2" i="2" s="1"/>
  <c r="K16" i="2" l="1"/>
  <c r="K18" i="2" s="1"/>
  <c r="M15" i="2"/>
  <c r="M17" i="2" s="1"/>
  <c r="M21" i="2" s="1"/>
  <c r="K14" i="2"/>
  <c r="M16" i="2"/>
  <c r="M18" i="2" s="1"/>
  <c r="M20" i="2" s="1"/>
  <c r="K22" i="2"/>
  <c r="K20" i="2"/>
  <c r="L13" i="2"/>
  <c r="L14" i="2"/>
  <c r="M14" i="2"/>
  <c r="L15" i="2"/>
  <c r="L17" i="2" s="1"/>
  <c r="J15" i="2"/>
  <c r="M13" i="2"/>
  <c r="K15" i="2"/>
  <c r="K17" i="2" s="1"/>
  <c r="J16" i="2"/>
  <c r="L16" i="2"/>
  <c r="L18" i="2" s="1"/>
  <c r="J13" i="2"/>
  <c r="M19" i="2" l="1"/>
  <c r="M22" i="2"/>
  <c r="N14" i="2"/>
  <c r="N13" i="2"/>
  <c r="N15" i="2"/>
  <c r="J17" i="2"/>
  <c r="L21" i="2"/>
  <c r="L19" i="2"/>
  <c r="L22" i="2"/>
  <c r="L20" i="2"/>
  <c r="N16" i="2"/>
  <c r="J18" i="2"/>
  <c r="K19" i="2"/>
  <c r="K21" i="2"/>
  <c r="J20" i="2" l="1"/>
  <c r="J22" i="2"/>
  <c r="N22" i="2" s="1"/>
  <c r="N18" i="2"/>
  <c r="N20" i="2" s="1"/>
  <c r="J19" i="2"/>
  <c r="N19" i="2" s="1"/>
  <c r="J21" i="2"/>
  <c r="N17" i="2"/>
  <c r="N21" i="2" s="1"/>
  <c r="J24" i="2" l="1"/>
</calcChain>
</file>

<file path=xl/sharedStrings.xml><?xml version="1.0" encoding="utf-8"?>
<sst xmlns="http://schemas.openxmlformats.org/spreadsheetml/2006/main" count="1270" uniqueCount="177">
  <si>
    <t>Thermal Diffusivity (m^2/s)</t>
  </si>
  <si>
    <t xml:space="preserve"> StdTDiff (m^2/s)</t>
  </si>
  <si>
    <t>Temp (C)</t>
  </si>
  <si>
    <t>Column1</t>
  </si>
  <si>
    <t>Temp (K)</t>
  </si>
  <si>
    <t>Thermal Conductivity (W/mK)</t>
  </si>
  <si>
    <t>Element</t>
  </si>
  <si>
    <t>protons/electrons#</t>
  </si>
  <si>
    <t>At weight (g/mol)</t>
  </si>
  <si>
    <t>m_proton (kg)</t>
  </si>
  <si>
    <t>m_electron (kg)</t>
  </si>
  <si>
    <t>Li</t>
  </si>
  <si>
    <t>F</t>
  </si>
  <si>
    <t>Na</t>
  </si>
  <si>
    <t>mass_sample (kg)</t>
  </si>
  <si>
    <t>K</t>
  </si>
  <si>
    <t>Co</t>
  </si>
  <si>
    <t>ℏ</t>
  </si>
  <si>
    <t>F2</t>
  </si>
  <si>
    <t>CompMass</t>
  </si>
  <si>
    <t>CoF2 %</t>
  </si>
  <si>
    <t>CoF2</t>
  </si>
  <si>
    <t>LiF</t>
  </si>
  <si>
    <t>NaF</t>
  </si>
  <si>
    <t>KF</t>
  </si>
  <si>
    <t>Total</t>
  </si>
  <si>
    <t>Weight %</t>
  </si>
  <si>
    <t>Corrected</t>
  </si>
  <si>
    <t>Mol %</t>
  </si>
  <si>
    <t>Mol/sample</t>
  </si>
  <si>
    <t>m_prot (kg)</t>
  </si>
  <si>
    <t>m_ele (kg)</t>
  </si>
  <si>
    <t>α_min</t>
  </si>
  <si>
    <t>M_FLiNaK</t>
  </si>
  <si>
    <t>kg/mol</t>
  </si>
  <si>
    <t>mol/sample</t>
  </si>
  <si>
    <t>Dataset ID</t>
  </si>
  <si>
    <t>Source</t>
  </si>
  <si>
    <t>Formula</t>
  </si>
  <si>
    <t>lambda_T (W/mK)</t>
  </si>
  <si>
    <t>Reported Uncertainty</t>
  </si>
  <si>
    <t>Uncertainty Units</t>
  </si>
  <si>
    <t>Exp or MD</t>
  </si>
  <si>
    <t>Reference</t>
  </si>
  <si>
    <t>0.73LiF-0.27BeF2</t>
  </si>
  <si>
    <t>Exp</t>
  </si>
  <si>
    <t>0.725LiF-0.265BeF2-0.01UF4</t>
  </si>
  <si>
    <t>0.72LiF-0.26BeF2-0.02UF4</t>
  </si>
  <si>
    <t>NaCl (Harada, 1992)</t>
  </si>
  <si>
    <t>NaCl (Nagasaka 1992)</t>
  </si>
  <si>
    <t>NaCl (Golyshev 1983)</t>
  </si>
  <si>
    <t>NaCl (Smirnov 1987)</t>
  </si>
  <si>
    <t>0.32MgCl2-0.68KCl (Xu 2018)</t>
  </si>
  <si>
    <t>W/m/K</t>
  </si>
  <si>
    <t>0.465LiF-0.115NaF-0.42KF (BYU_RR)</t>
  </si>
  <si>
    <t>BYU</t>
  </si>
  <si>
    <t>RR</t>
  </si>
  <si>
    <t>0.465LiF-0.115NaF-0.42KF (Merritt, 2022)</t>
  </si>
  <si>
    <t>0.345NaF-0.59KF-0.065MgF2 (BYU)</t>
  </si>
  <si>
    <t>0.465LiF-0.115NaF-0.42KF (Gallagher, 2022)</t>
  </si>
  <si>
    <t>ORNL</t>
  </si>
  <si>
    <t>0.465LiF-0.115NaF-0.42KF (C&amp;C RR)</t>
  </si>
  <si>
    <t>C&amp;C</t>
  </si>
  <si>
    <t>0.465LiF-0.115NaF-0.42KF (Ewing RR)</t>
  </si>
  <si>
    <t>Ewing</t>
  </si>
  <si>
    <t>0.465LiF-0.115NaF-0.42KF (Ueki RR)</t>
  </si>
  <si>
    <t>Ueki</t>
  </si>
  <si>
    <t>0.465LiF-0.115NaF-0.42KF (Smirnov, 1987)</t>
  </si>
  <si>
    <t>Smirnov</t>
  </si>
  <si>
    <t>0.465LiF-0.115NaF-0.42KF (Khokhlov, 2011)</t>
  </si>
  <si>
    <t>Khokhlov</t>
  </si>
  <si>
    <t>0.465LiF-0.115NaF-0.42KF (Rudenko, 2022)</t>
  </si>
  <si>
    <t>Rudenko</t>
  </si>
  <si>
    <t>0.465LiF-0.115NaF-0.42KF (An, 2015)</t>
  </si>
  <si>
    <t>An</t>
  </si>
  <si>
    <t>0.465LiF-0.115NaF-0.42KF (Robertson, 2022)</t>
  </si>
  <si>
    <t>0.465LiF-0.115NaF-0.42KF (MIT RR)</t>
  </si>
  <si>
    <t>MIT - Short</t>
  </si>
  <si>
    <t>LiF (Golyshev, 1982)</t>
  </si>
  <si>
    <t>LiF (Golyshev, 1992)</t>
  </si>
  <si>
    <t>KCl (Nagasaka, 1992)</t>
  </si>
  <si>
    <t>KCl (Harada, 1992)</t>
  </si>
  <si>
    <t>KCl (Hatakeyama, 1988)</t>
  </si>
  <si>
    <t>KCl (Nagasaka, 1988)</t>
  </si>
  <si>
    <t>KCl (Smirnov, 1987)</t>
  </si>
  <si>
    <t>KCl (Federov, 1970)</t>
  </si>
  <si>
    <t>KCl (Polyakov, 1974)</t>
  </si>
  <si>
    <t>LiF (Golyshev, 1983)</t>
  </si>
  <si>
    <t>Gap width</t>
  </si>
  <si>
    <t>LiF (Smirnov, 1987)</t>
  </si>
  <si>
    <t>LiF (Skreenivasan, 1967)</t>
  </si>
  <si>
    <t>63NaCl-37UCl3 (Termini, 2024)</t>
  </si>
  <si>
    <t>LiF (Khlebnikov, 1981)</t>
  </si>
  <si>
    <t>Temp (C</t>
  </si>
  <si>
    <t>Temp (K</t>
  </si>
  <si>
    <t>alpha (m^2/s)</t>
  </si>
  <si>
    <t>alpha (cm^2/s)</t>
  </si>
  <si>
    <t>rho (kg/m^3)</t>
  </si>
  <si>
    <t>rho (g/cm^3)</t>
  </si>
  <si>
    <t>Cp (J/g/K)</t>
  </si>
  <si>
    <t>Cp (J/kg/K)</t>
  </si>
  <si>
    <t>k (W/m/K)</t>
  </si>
  <si>
    <t>65.8NaCl-34.2UCl3 (Rose, 2023)</t>
  </si>
  <si>
    <t>NaF (Smirnov, 1987)</t>
  </si>
  <si>
    <t>NaF (Polyakov, 1975)</t>
  </si>
  <si>
    <t>KF (Smirnov, 1987)</t>
  </si>
  <si>
    <t>MgF2 (Khlebnikov, 1981)</t>
  </si>
  <si>
    <t>MgF2 (Golyshev, 1992)</t>
  </si>
  <si>
    <t>CaF2 (Golyshev, 1992)</t>
  </si>
  <si>
    <t>CaF2 (Khlebnikov, 1981)</t>
  </si>
  <si>
    <t>CaF2 (Powell, 1979)</t>
  </si>
  <si>
    <t>RbF (Smirnov, 1987)</t>
  </si>
  <si>
    <t>LiCl (Nagasaka, 1992)</t>
  </si>
  <si>
    <t>LiCl (Smirnov, 1987)</t>
  </si>
  <si>
    <t>MgCl2 (Filatov, 2005)</t>
  </si>
  <si>
    <t>MgCl2 (Bystrai, 1975)</t>
  </si>
  <si>
    <t>63NaCl-37UCl3</t>
  </si>
  <si>
    <t>65.8NaCl-34.2UCl3</t>
  </si>
  <si>
    <t>UCl3 mol%</t>
  </si>
  <si>
    <t>complex fraction</t>
  </si>
  <si>
    <t>complex</t>
  </si>
  <si>
    <t>Folds</t>
  </si>
  <si>
    <t>&lt;-- n</t>
  </si>
  <si>
    <t>U_3 Cl_n^(n-9)-</t>
  </si>
  <si>
    <t>U_2 Cl_n^(n-6)-</t>
  </si>
  <si>
    <t>U_4 Cl_n^(n-12)-</t>
  </si>
  <si>
    <t>UCl_n^(n-3)-</t>
  </si>
  <si>
    <t>U_m Cl_n</t>
  </si>
  <si>
    <t>CN_cat</t>
  </si>
  <si>
    <t>CN_an</t>
  </si>
  <si>
    <t>n_cat</t>
  </si>
  <si>
    <t>psi*--&gt;</t>
  </si>
  <si>
    <t>mass (kg/mol)</t>
  </si>
  <si>
    <t>NaCl</t>
  </si>
  <si>
    <t>UCl3</t>
  </si>
  <si>
    <t>mass_complex</t>
  </si>
  <si>
    <t>%U</t>
  </si>
  <si>
    <t>% NaCl</t>
  </si>
  <si>
    <t>0.42KF-0.28NaF-0.30UF4 (Rudenko, 2024)</t>
  </si>
  <si>
    <t>0.36KF-0.24NaF-0.40UF4 (Rudenko, 2024)</t>
  </si>
  <si>
    <t>0.30KF-0.20NaF-0.50UF4 (Rudenko, 2024)</t>
  </si>
  <si>
    <t>Melting Point (K)</t>
  </si>
  <si>
    <t>0.345NaF-0.59KF-0.065MgF2 (Rudenko, 2024)</t>
  </si>
  <si>
    <t>0.73LiF-0.27BeF2 (Bobrova, 2023)</t>
  </si>
  <si>
    <t>0.725LiF-0.265BeF2-0.01UF4 (Bobrova, 2023)</t>
  </si>
  <si>
    <t>0.72LiF-0.26BeF2-0.02UF4 (Bobrova, 2023)</t>
  </si>
  <si>
    <t>0.712LiF-0.23BeF2-0.05ZrF4-0.008UF4 (Rosenthal, 1969)</t>
  </si>
  <si>
    <t>0.675LiF-0.20BeF2-0.12ThF4-0.005UF4 (Rosenthal, 1969)</t>
  </si>
  <si>
    <t>0.1511NaCl-0.3891KCl-0.4598MgCl2 (Wang, 2021)</t>
  </si>
  <si>
    <t>0.66LiF-0.34BeF2 (Redkin, 2022)</t>
  </si>
  <si>
    <t>0.66LiF-0.34BeF2 (Kato, 1983)</t>
  </si>
  <si>
    <t>0.66LiF-0.34BeF2 (Bobrova, 2023)</t>
  </si>
  <si>
    <t>0.66LiF-0.34BeF2 (Schorne-Pinto, 2024)</t>
  </si>
  <si>
    <t>0.4903NaCl-0.5097CaCl2 (Wei, 2022; MD)</t>
  </si>
  <si>
    <t>0.52NaCl-0.48CaCl2 (Tian, 2021)</t>
  </si>
  <si>
    <t>CaCl2 (Wei, 2022; MD)</t>
  </si>
  <si>
    <t>0.585LiCl-0.415KCl (G. J. Janz, 2013)</t>
  </si>
  <si>
    <t>https://journals.aps.org/prb/abstract/10.1103/PhysRevB.106.014209#s3</t>
  </si>
  <si>
    <t>0.9KCl-0.1UCl3 (Bratescu, 2023)</t>
  </si>
  <si>
    <t>0.85KCl-0.15UCl3 (Bratescu, 2023)</t>
  </si>
  <si>
    <t>0.8KCl-0.2UCl3 (Bratescu, 2023)</t>
  </si>
  <si>
    <t>0.78KCl-0.22UCl3 (Bratescu, 2023)</t>
  </si>
  <si>
    <t>0.75KCl-0.25UCl3 (Bratescu, 2023)</t>
  </si>
  <si>
    <t>0.7KCl-0.3UCl3 (Bratescu, 2023)</t>
  </si>
  <si>
    <t>0.65KCl-0.35UCl3 (Bratescu, 2023)</t>
  </si>
  <si>
    <t>0.6KCl-0.4UCl3 (Bratescu, 2023)</t>
  </si>
  <si>
    <t>0.55KCl-0.45UCl3 (Bratescu, 2023)</t>
  </si>
  <si>
    <t>0.582LiCl-0.418KCl (Merritt, 2022)</t>
  </si>
  <si>
    <t>0.44NaCl-0.56KCl (Birri, 2022)</t>
  </si>
  <si>
    <t>0.44NaCl-0.56KCl (Birri, 2023)</t>
  </si>
  <si>
    <t>0.51NaCl-0.49KCl (Ruth, 2024)</t>
  </si>
  <si>
    <t>0.22NaCl-0.393KCl-0.387ZnCl2 (Xi, 2024-MD)</t>
  </si>
  <si>
    <t>0.13.8NaCl-0.419KCl-0.443ZnCl2 (Xi, 2024)</t>
  </si>
  <si>
    <t>0.535NaCl-0.315MgCl2-0.15CaCl2 (Rong, 2015)</t>
  </si>
  <si>
    <t>0.535NaCl-0.315MgCl2-0.15CaCl2 (Wei, 2022; MD)</t>
  </si>
  <si>
    <t>CaCl2 (Janz, 1978)</t>
  </si>
  <si>
    <t>0.6LiF-0.4NaF (Ruth,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</si>
</sst>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0000"/>
    <numFmt numFmtId="165" formatCode="#,##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/>
    <xf numFmtId="164" fontId="0" fillId="0" borderId="0" xfId="0" applyNumberFormat="1"/>
    <xf numFmtId="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4" fontId="1" fillId="0" borderId="4" xfId="0" applyNumberFormat="1" applyFont="1" applyBorder="1" applyAlignment="1">
      <alignment horizontal="right"/>
    </xf>
    <xf numFmtId="4" fontId="1" fillId="0" borderId="5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4" fontId="1" fillId="0" borderId="7" xfId="0" applyNumberFormat="1" applyFon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3" fontId="1" fillId="0" borderId="4" xfId="0" applyNumberFormat="1" applyFont="1" applyBorder="1" applyAlignment="1">
      <alignment horizontal="right"/>
    </xf>
    <xf numFmtId="3" fontId="1" fillId="0" borderId="7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4" fontId="5" fillId="0" borderId="0" xfId="0" applyNumberFormat="1" applyFont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ermal" displayName="Thermal" ref="A1:D106" totalsRowShown="0">
  <autoFilter ref="A1:D106" xr:uid="{00000000-0009-0000-0100-000001000000}"/>
  <tableColumns count="4">
    <tableColumn id="1" xr3:uid="{00000000-0010-0000-0000-000001000000}" name="Thermal Diffusivity (m^2/s)"/>
    <tableColumn id="2" xr3:uid="{00000000-0010-0000-0000-000002000000}" name=" StdTDiff (m^2/s)"/>
    <tableColumn id="3" xr3:uid="{00000000-0010-0000-0000-000003000000}" name="Temp (C)"/>
    <tableColumn id="4" xr3:uid="{00000000-0010-0000-0000-000004000000}" name="Column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851"/>
  <sheetViews>
    <sheetView tabSelected="1" topLeftCell="A59" zoomScale="80" zoomScaleNormal="80" workbookViewId="0">
      <selection activeCell="Q65" sqref="Q65"/>
    </sheetView>
  </sheetViews>
  <sheetFormatPr defaultRowHeight="15" x14ac:dyDescent="0.25"/>
  <cols>
    <col min="1" max="1" width="7.85546875" style="2" customWidth="1"/>
    <col min="2" max="2" width="34.42578125" customWidth="1"/>
    <col min="3" max="3" width="23.140625" customWidth="1"/>
    <col min="4" max="4" width="8.7109375" style="1" bestFit="1" customWidth="1"/>
    <col min="5" max="5" width="15.7109375" style="1" bestFit="1" customWidth="1"/>
    <col min="6" max="6" width="8.7109375" style="3" bestFit="1" customWidth="1"/>
    <col min="7" max="7" width="7.42578125" bestFit="1" customWidth="1"/>
    <col min="8" max="8" width="8.7109375" bestFit="1" customWidth="1"/>
    <col min="9" max="9" width="15.7109375" bestFit="1" customWidth="1"/>
    <col min="10" max="10" width="8.7109375" bestFit="1" customWidth="1"/>
  </cols>
  <sheetData>
    <row r="1" spans="1:14" ht="19.5" customHeight="1" x14ac:dyDescent="0.25">
      <c r="A1" s="29" t="s">
        <v>36</v>
      </c>
      <c r="B1" s="30" t="s">
        <v>37</v>
      </c>
      <c r="C1" s="30" t="s">
        <v>38</v>
      </c>
      <c r="D1" s="31" t="s">
        <v>4</v>
      </c>
      <c r="E1" s="31" t="s">
        <v>39</v>
      </c>
      <c r="F1" s="31" t="s">
        <v>40</v>
      </c>
      <c r="G1" s="30" t="s">
        <v>41</v>
      </c>
      <c r="H1" s="30" t="s">
        <v>42</v>
      </c>
      <c r="I1" s="30" t="s">
        <v>43</v>
      </c>
      <c r="J1" s="30" t="s">
        <v>141</v>
      </c>
      <c r="M1" s="30"/>
      <c r="N1" s="30"/>
    </row>
    <row r="2" spans="1:14" ht="19.5" customHeight="1" x14ac:dyDescent="0.25">
      <c r="A2" s="32">
        <v>1</v>
      </c>
      <c r="B2" s="33" t="s">
        <v>143</v>
      </c>
      <c r="C2" s="30" t="s">
        <v>44</v>
      </c>
      <c r="D2" s="32">
        <v>884</v>
      </c>
      <c r="E2" s="34">
        <v>0.97399999999999998</v>
      </c>
      <c r="H2" s="30" t="s">
        <v>45</v>
      </c>
      <c r="M2">
        <f>INTERCEPT(E2:E6,D2:D6)</f>
        <v>0.54974371596675453</v>
      </c>
      <c r="N2">
        <f>SLOPE(E2:E6,D2:D6)</f>
        <v>4.9353473709054779E-4</v>
      </c>
    </row>
    <row r="3" spans="1:14" ht="19.5" customHeight="1" x14ac:dyDescent="0.25">
      <c r="A3" s="32">
        <v>1</v>
      </c>
      <c r="B3" s="35" t="s">
        <v>143</v>
      </c>
      <c r="C3" s="30" t="s">
        <v>44</v>
      </c>
      <c r="D3" s="32">
        <v>933</v>
      </c>
      <c r="E3" s="34">
        <v>1.03</v>
      </c>
      <c r="H3" s="30" t="s">
        <v>45</v>
      </c>
    </row>
    <row r="4" spans="1:14" ht="19.5" customHeight="1" x14ac:dyDescent="0.25">
      <c r="A4" s="32">
        <v>1</v>
      </c>
      <c r="B4" s="35" t="s">
        <v>143</v>
      </c>
      <c r="C4" s="30" t="s">
        <v>44</v>
      </c>
      <c r="D4" s="32">
        <v>979</v>
      </c>
      <c r="E4" s="34">
        <v>1.028</v>
      </c>
      <c r="H4" s="30" t="s">
        <v>45</v>
      </c>
    </row>
    <row r="5" spans="1:14" ht="19.5" customHeight="1" x14ac:dyDescent="0.25">
      <c r="A5" s="32">
        <v>1</v>
      </c>
      <c r="B5" s="35" t="s">
        <v>143</v>
      </c>
      <c r="C5" s="30" t="s">
        <v>44</v>
      </c>
      <c r="D5" s="32">
        <v>1032</v>
      </c>
      <c r="E5" s="34">
        <v>1.0580000000000001</v>
      </c>
      <c r="H5" s="30" t="s">
        <v>45</v>
      </c>
    </row>
    <row r="6" spans="1:14" ht="19.5" customHeight="1" x14ac:dyDescent="0.25">
      <c r="A6" s="32">
        <v>1</v>
      </c>
      <c r="B6" s="35" t="s">
        <v>143</v>
      </c>
      <c r="C6" s="30" t="s">
        <v>44</v>
      </c>
      <c r="D6" s="32">
        <v>1078</v>
      </c>
      <c r="E6" s="34">
        <v>1.08</v>
      </c>
      <c r="H6" s="30" t="s">
        <v>45</v>
      </c>
    </row>
    <row r="7" spans="1:14" ht="19.5" customHeight="1" x14ac:dyDescent="0.25">
      <c r="A7" s="32">
        <v>2</v>
      </c>
      <c r="B7" s="33" t="s">
        <v>144</v>
      </c>
      <c r="C7" s="30" t="s">
        <v>46</v>
      </c>
      <c r="D7" s="32">
        <v>882</v>
      </c>
      <c r="E7" s="34">
        <v>0.89</v>
      </c>
      <c r="H7" s="30" t="s">
        <v>45</v>
      </c>
      <c r="M7">
        <f>INTERCEPT(E7:E11,D7:D11)</f>
        <v>0.21988955144327627</v>
      </c>
      <c r="N7">
        <f>SLOPE(E7:E11,D7:D11)</f>
        <v>7.6040608291553569E-4</v>
      </c>
    </row>
    <row r="8" spans="1:14" ht="19.5" customHeight="1" x14ac:dyDescent="0.25">
      <c r="A8" s="32">
        <v>2</v>
      </c>
      <c r="B8" s="35" t="s">
        <v>144</v>
      </c>
      <c r="C8" s="30" t="s">
        <v>46</v>
      </c>
      <c r="D8" s="32">
        <v>933</v>
      </c>
      <c r="E8" s="34">
        <v>0.94599999999999995</v>
      </c>
      <c r="H8" s="30" t="s">
        <v>45</v>
      </c>
    </row>
    <row r="9" spans="1:14" ht="19.5" customHeight="1" x14ac:dyDescent="0.25">
      <c r="A9" s="32">
        <v>2</v>
      </c>
      <c r="B9" s="35" t="s">
        <v>144</v>
      </c>
      <c r="C9" s="30" t="s">
        <v>46</v>
      </c>
      <c r="D9" s="32">
        <v>982</v>
      </c>
      <c r="E9" s="34">
        <v>0.94499999999999995</v>
      </c>
      <c r="H9" s="30" t="s">
        <v>45</v>
      </c>
    </row>
    <row r="10" spans="1:14" ht="19.5" customHeight="1" x14ac:dyDescent="0.25">
      <c r="A10" s="32">
        <v>2</v>
      </c>
      <c r="B10" s="35" t="s">
        <v>144</v>
      </c>
      <c r="C10" s="30" t="s">
        <v>46</v>
      </c>
      <c r="D10" s="32">
        <v>1031</v>
      </c>
      <c r="E10" s="34">
        <v>0.999</v>
      </c>
      <c r="H10" s="30" t="s">
        <v>45</v>
      </c>
    </row>
    <row r="11" spans="1:14" ht="19.5" customHeight="1" x14ac:dyDescent="0.25">
      <c r="A11" s="32">
        <v>2</v>
      </c>
      <c r="B11" s="35" t="s">
        <v>144</v>
      </c>
      <c r="C11" s="30" t="s">
        <v>46</v>
      </c>
      <c r="D11" s="32">
        <v>1078</v>
      </c>
      <c r="E11" s="34">
        <v>1.05</v>
      </c>
      <c r="H11" s="30" t="s">
        <v>45</v>
      </c>
    </row>
    <row r="12" spans="1:14" ht="19.5" customHeight="1" x14ac:dyDescent="0.25">
      <c r="A12" s="32">
        <v>3</v>
      </c>
      <c r="B12" s="33" t="s">
        <v>145</v>
      </c>
      <c r="C12" s="30" t="s">
        <v>47</v>
      </c>
      <c r="D12" s="32">
        <v>832</v>
      </c>
      <c r="E12" s="34">
        <v>0.79</v>
      </c>
      <c r="H12" s="30" t="s">
        <v>45</v>
      </c>
      <c r="M12">
        <f>INTERCEPT(E12:E16,D12:D16)</f>
        <v>0.11443612145051474</v>
      </c>
      <c r="N12">
        <f>SLOPE(E12:E16,D12:D16)</f>
        <v>8.2774734652081301E-4</v>
      </c>
    </row>
    <row r="13" spans="1:14" ht="19.5" customHeight="1" x14ac:dyDescent="0.25">
      <c r="A13" s="32">
        <v>3</v>
      </c>
      <c r="B13" s="30" t="s">
        <v>145</v>
      </c>
      <c r="C13" s="30" t="s">
        <v>47</v>
      </c>
      <c r="D13" s="32">
        <v>883</v>
      </c>
      <c r="E13" s="34">
        <v>0.84699999999999998</v>
      </c>
      <c r="H13" s="30" t="s">
        <v>45</v>
      </c>
    </row>
    <row r="14" spans="1:14" ht="19.5" customHeight="1" x14ac:dyDescent="0.25">
      <c r="A14" s="32">
        <v>3</v>
      </c>
      <c r="B14" s="30" t="s">
        <v>145</v>
      </c>
      <c r="C14" s="30" t="s">
        <v>47</v>
      </c>
      <c r="D14" s="32">
        <v>931</v>
      </c>
      <c r="E14" s="34">
        <v>0.89800000000000002</v>
      </c>
      <c r="H14" s="30" t="s">
        <v>45</v>
      </c>
    </row>
    <row r="15" spans="1:14" ht="19.5" customHeight="1" x14ac:dyDescent="0.25">
      <c r="A15" s="32">
        <v>3</v>
      </c>
      <c r="B15" s="30" t="s">
        <v>145</v>
      </c>
      <c r="C15" s="30" t="s">
        <v>47</v>
      </c>
      <c r="D15" s="32">
        <v>979</v>
      </c>
      <c r="E15" s="34">
        <v>0.94499999999999995</v>
      </c>
      <c r="H15" s="30" t="s">
        <v>45</v>
      </c>
    </row>
    <row r="16" spans="1:14" ht="19.5" customHeight="1" x14ac:dyDescent="0.25">
      <c r="A16" s="32">
        <v>3</v>
      </c>
      <c r="B16" s="30" t="s">
        <v>145</v>
      </c>
      <c r="C16" s="30" t="s">
        <v>47</v>
      </c>
      <c r="D16" s="32">
        <v>1032</v>
      </c>
      <c r="E16" s="34">
        <v>0.94699999999999995</v>
      </c>
      <c r="H16" s="30" t="s">
        <v>45</v>
      </c>
    </row>
    <row r="17" spans="1:14" ht="19.5" customHeight="1" x14ac:dyDescent="0.25">
      <c r="A17" s="32">
        <v>3</v>
      </c>
      <c r="B17" s="30" t="s">
        <v>145</v>
      </c>
      <c r="C17" s="30" t="s">
        <v>47</v>
      </c>
      <c r="D17" s="32">
        <v>1073</v>
      </c>
      <c r="E17" s="34">
        <v>0.998</v>
      </c>
      <c r="H17" s="30" t="s">
        <v>45</v>
      </c>
    </row>
    <row r="18" spans="1:14" ht="19.5" customHeight="1" x14ac:dyDescent="0.25">
      <c r="A18" s="32">
        <v>4</v>
      </c>
      <c r="B18" s="33" t="s">
        <v>48</v>
      </c>
      <c r="D18" s="34">
        <v>1087.31808731808</v>
      </c>
      <c r="E18" s="34">
        <v>0.45161290322580599</v>
      </c>
      <c r="H18" s="30" t="s">
        <v>45</v>
      </c>
    </row>
    <row r="19" spans="1:14" ht="19.5" customHeight="1" x14ac:dyDescent="0.25">
      <c r="A19" s="32">
        <v>4</v>
      </c>
      <c r="B19" s="30" t="s">
        <v>48</v>
      </c>
      <c r="D19" s="34">
        <v>1118.50311850311</v>
      </c>
      <c r="E19" s="34">
        <v>0.42580645161290298</v>
      </c>
      <c r="H19" s="30" t="s">
        <v>45</v>
      </c>
    </row>
    <row r="20" spans="1:14" ht="19.5" customHeight="1" x14ac:dyDescent="0.25">
      <c r="A20" s="32">
        <v>4</v>
      </c>
      <c r="B20" s="30" t="s">
        <v>48</v>
      </c>
      <c r="D20" s="34">
        <v>1118.50311850311</v>
      </c>
      <c r="E20" s="34">
        <v>0.44999999999999901</v>
      </c>
      <c r="H20" s="30" t="s">
        <v>45</v>
      </c>
    </row>
    <row r="21" spans="1:14" ht="19.5" customHeight="1" x14ac:dyDescent="0.25">
      <c r="A21" s="32">
        <v>4</v>
      </c>
      <c r="B21" s="30" t="s">
        <v>48</v>
      </c>
      <c r="D21" s="34">
        <v>1147.6091476091401</v>
      </c>
      <c r="E21" s="34">
        <v>0.44354838709677302</v>
      </c>
      <c r="H21" s="30" t="s">
        <v>45</v>
      </c>
    </row>
    <row r="22" spans="1:14" ht="19.5" customHeight="1" x14ac:dyDescent="0.25">
      <c r="A22" s="32">
        <v>4</v>
      </c>
      <c r="B22" s="30" t="s">
        <v>48</v>
      </c>
      <c r="D22" s="34">
        <v>1147.6091476091401</v>
      </c>
      <c r="E22" s="34">
        <v>0.42741935483870902</v>
      </c>
      <c r="H22" s="30" t="s">
        <v>45</v>
      </c>
    </row>
    <row r="23" spans="1:14" ht="19.5" customHeight="1" x14ac:dyDescent="0.25">
      <c r="A23" s="32">
        <v>4</v>
      </c>
      <c r="B23" s="30" t="s">
        <v>48</v>
      </c>
      <c r="D23" s="34">
        <v>1147.6091476091401</v>
      </c>
      <c r="E23" s="34">
        <v>0.40645161290322501</v>
      </c>
      <c r="H23" s="30" t="s">
        <v>45</v>
      </c>
    </row>
    <row r="24" spans="1:14" ht="19.5" customHeight="1" x14ac:dyDescent="0.25">
      <c r="A24" s="32">
        <v>4</v>
      </c>
      <c r="B24" s="30" t="s">
        <v>48</v>
      </c>
      <c r="D24" s="34">
        <v>1175.6756756756699</v>
      </c>
      <c r="E24" s="34">
        <v>0.41774193548387001</v>
      </c>
      <c r="H24" s="30" t="s">
        <v>45</v>
      </c>
    </row>
    <row r="25" spans="1:14" ht="19.5" customHeight="1" x14ac:dyDescent="0.25">
      <c r="A25" s="32">
        <v>5</v>
      </c>
      <c r="B25" s="33" t="s">
        <v>49</v>
      </c>
      <c r="D25" s="34">
        <v>1169.4386694386601</v>
      </c>
      <c r="E25" s="34">
        <v>0.51451612903225696</v>
      </c>
      <c r="H25" s="30" t="s">
        <v>45</v>
      </c>
      <c r="M25">
        <f>INTERCEPT(E25:E34,D25:D34)</f>
        <v>0.78082332295768053</v>
      </c>
      <c r="N25">
        <f>SLOPE(E25:E34,D25:D34)</f>
        <v>-2.3697394363872176E-4</v>
      </c>
    </row>
    <row r="26" spans="1:14" ht="19.5" customHeight="1" x14ac:dyDescent="0.25">
      <c r="A26" s="32">
        <v>5</v>
      </c>
      <c r="B26" s="30" t="s">
        <v>49</v>
      </c>
      <c r="D26" s="34">
        <v>1171.5176715176699</v>
      </c>
      <c r="E26" s="34">
        <v>0.488709677419354</v>
      </c>
      <c r="H26" s="30" t="s">
        <v>45</v>
      </c>
    </row>
    <row r="27" spans="1:14" ht="19.5" customHeight="1" x14ac:dyDescent="0.25">
      <c r="A27" s="32">
        <v>5</v>
      </c>
      <c r="B27" s="30" t="s">
        <v>49</v>
      </c>
      <c r="D27" s="34">
        <v>1274.42827442827</v>
      </c>
      <c r="E27" s="34">
        <v>0.488709677419354</v>
      </c>
      <c r="H27" s="30" t="s">
        <v>45</v>
      </c>
    </row>
    <row r="28" spans="1:14" ht="19.5" customHeight="1" x14ac:dyDescent="0.25">
      <c r="A28" s="32">
        <v>5</v>
      </c>
      <c r="B28" s="30" t="s">
        <v>49</v>
      </c>
      <c r="D28" s="34">
        <v>1294.17879417879</v>
      </c>
      <c r="E28" s="34">
        <v>0.46612903225806401</v>
      </c>
      <c r="H28" s="30" t="s">
        <v>45</v>
      </c>
    </row>
    <row r="29" spans="1:14" ht="19.5" customHeight="1" x14ac:dyDescent="0.25">
      <c r="A29" s="32">
        <v>5</v>
      </c>
      <c r="B29" s="30" t="s">
        <v>49</v>
      </c>
      <c r="D29" s="34">
        <v>1354.4698544698499</v>
      </c>
      <c r="E29" s="34">
        <v>0.46129032258064401</v>
      </c>
      <c r="H29" s="30" t="s">
        <v>45</v>
      </c>
    </row>
    <row r="30" spans="1:14" ht="19.5" customHeight="1" x14ac:dyDescent="0.25">
      <c r="A30" s="32">
        <v>5</v>
      </c>
      <c r="B30" s="30" t="s">
        <v>49</v>
      </c>
      <c r="D30" s="34">
        <v>1392.9313929313901</v>
      </c>
      <c r="E30" s="34">
        <v>0.46129032258064401</v>
      </c>
      <c r="H30" s="30" t="s">
        <v>45</v>
      </c>
    </row>
    <row r="31" spans="1:14" ht="19.5" customHeight="1" x14ac:dyDescent="0.25">
      <c r="A31" s="32">
        <v>5</v>
      </c>
      <c r="B31" s="30" t="s">
        <v>49</v>
      </c>
      <c r="D31" s="34">
        <v>1403.3264033263999</v>
      </c>
      <c r="E31" s="34">
        <v>0.45967741935483802</v>
      </c>
      <c r="H31" s="30" t="s">
        <v>45</v>
      </c>
    </row>
    <row r="32" spans="1:14" ht="19.5" customHeight="1" x14ac:dyDescent="0.25">
      <c r="A32" s="32">
        <v>5</v>
      </c>
      <c r="B32" s="30" t="s">
        <v>49</v>
      </c>
      <c r="D32" s="34">
        <v>1401.2474012473999</v>
      </c>
      <c r="E32" s="34">
        <v>0.43548387096774099</v>
      </c>
      <c r="H32" s="30" t="s">
        <v>45</v>
      </c>
    </row>
    <row r="33" spans="1:8" ht="19.5" customHeight="1" x14ac:dyDescent="0.25">
      <c r="A33" s="32">
        <v>5</v>
      </c>
      <c r="B33" s="30" t="s">
        <v>49</v>
      </c>
      <c r="D33" s="34">
        <v>1440.7484407484401</v>
      </c>
      <c r="E33" s="34">
        <v>0.44838709677419297</v>
      </c>
      <c r="H33" s="30" t="s">
        <v>45</v>
      </c>
    </row>
    <row r="34" spans="1:8" ht="19.5" customHeight="1" x14ac:dyDescent="0.25">
      <c r="A34" s="32">
        <v>5</v>
      </c>
      <c r="B34" s="30" t="s">
        <v>49</v>
      </c>
      <c r="D34" s="34">
        <v>1438.6694386694301</v>
      </c>
      <c r="E34" s="34">
        <v>0.42258064516129001</v>
      </c>
      <c r="H34" s="30" t="s">
        <v>45</v>
      </c>
    </row>
    <row r="35" spans="1:8" ht="19.5" customHeight="1" x14ac:dyDescent="0.25">
      <c r="A35" s="32">
        <v>6</v>
      </c>
      <c r="B35" s="33" t="s">
        <v>50</v>
      </c>
      <c r="D35" s="34">
        <v>1072.76507276507</v>
      </c>
      <c r="E35" s="34">
        <v>0.39354838709677298</v>
      </c>
      <c r="H35" s="30" t="s">
        <v>45</v>
      </c>
    </row>
    <row r="36" spans="1:8" ht="19.5" customHeight="1" x14ac:dyDescent="0.25">
      <c r="A36" s="32">
        <v>6</v>
      </c>
      <c r="B36" s="30" t="s">
        <v>50</v>
      </c>
      <c r="D36" s="34">
        <v>1072.76507276507</v>
      </c>
      <c r="E36" s="34">
        <v>0.42741935483870902</v>
      </c>
      <c r="H36" s="30" t="s">
        <v>45</v>
      </c>
    </row>
    <row r="37" spans="1:8" ht="19.5" customHeight="1" x14ac:dyDescent="0.25">
      <c r="A37" s="32">
        <v>6</v>
      </c>
      <c r="B37" s="30" t="s">
        <v>50</v>
      </c>
      <c r="D37" s="34">
        <v>1241.1642411642399</v>
      </c>
      <c r="E37" s="34">
        <v>0.429032258064515</v>
      </c>
      <c r="H37" s="30" t="s">
        <v>45</v>
      </c>
    </row>
    <row r="38" spans="1:8" ht="19.5" customHeight="1" x14ac:dyDescent="0.25">
      <c r="A38" s="32">
        <v>6</v>
      </c>
      <c r="B38" s="30" t="s">
        <v>50</v>
      </c>
      <c r="D38" s="34">
        <v>1242.2037422037399</v>
      </c>
      <c r="E38" s="34">
        <v>0.40967741935483798</v>
      </c>
      <c r="H38" s="30" t="s">
        <v>45</v>
      </c>
    </row>
    <row r="39" spans="1:8" ht="19.5" customHeight="1" x14ac:dyDescent="0.25">
      <c r="A39" s="32">
        <v>6</v>
      </c>
      <c r="B39" s="30" t="s">
        <v>50</v>
      </c>
      <c r="D39" s="34">
        <v>1240.1247401247399</v>
      </c>
      <c r="E39" s="34">
        <v>0.39193548387096699</v>
      </c>
      <c r="H39" s="30" t="s">
        <v>45</v>
      </c>
    </row>
    <row r="40" spans="1:8" ht="19.5" customHeight="1" x14ac:dyDescent="0.25">
      <c r="A40" s="32">
        <v>7</v>
      </c>
      <c r="B40" s="33" t="s">
        <v>51</v>
      </c>
      <c r="D40" s="34">
        <v>1093.55509355509</v>
      </c>
      <c r="E40" s="34">
        <v>0.73064516129032198</v>
      </c>
      <c r="H40" s="30" t="s">
        <v>45</v>
      </c>
    </row>
    <row r="41" spans="1:8" ht="19.5" customHeight="1" x14ac:dyDescent="0.25">
      <c r="A41" s="32">
        <v>7</v>
      </c>
      <c r="B41" s="30" t="s">
        <v>51</v>
      </c>
      <c r="D41" s="34">
        <v>1113.30561330561</v>
      </c>
      <c r="E41" s="34">
        <v>0.73387096774193505</v>
      </c>
      <c r="H41" s="30" t="s">
        <v>45</v>
      </c>
    </row>
    <row r="42" spans="1:8" ht="19.5" customHeight="1" x14ac:dyDescent="0.25">
      <c r="A42" s="32">
        <v>7</v>
      </c>
      <c r="B42" s="30" t="s">
        <v>51</v>
      </c>
      <c r="D42" s="34">
        <v>1110.18711018711</v>
      </c>
      <c r="E42" s="34">
        <v>0.74032258064515999</v>
      </c>
      <c r="H42" s="30" t="s">
        <v>45</v>
      </c>
    </row>
    <row r="43" spans="1:8" ht="19.5" customHeight="1" x14ac:dyDescent="0.25">
      <c r="A43" s="32">
        <v>7</v>
      </c>
      <c r="B43" s="30" t="s">
        <v>51</v>
      </c>
      <c r="D43" s="34">
        <v>1124.7401247401201</v>
      </c>
      <c r="E43" s="34">
        <v>0.75967741935483801</v>
      </c>
      <c r="H43" s="30" t="s">
        <v>45</v>
      </c>
    </row>
    <row r="44" spans="1:8" ht="19.5" customHeight="1" x14ac:dyDescent="0.25">
      <c r="A44" s="32">
        <v>7</v>
      </c>
      <c r="B44" s="30" t="s">
        <v>51</v>
      </c>
      <c r="D44" s="34">
        <v>1135.13513513513</v>
      </c>
      <c r="E44" s="34">
        <v>0.761290322580644</v>
      </c>
      <c r="H44" s="30" t="s">
        <v>45</v>
      </c>
    </row>
    <row r="45" spans="1:8" ht="19.5" customHeight="1" x14ac:dyDescent="0.25">
      <c r="A45" s="32">
        <v>7</v>
      </c>
      <c r="B45" s="30" t="s">
        <v>51</v>
      </c>
      <c r="D45" s="34">
        <v>1147.6091476091401</v>
      </c>
      <c r="E45" s="34">
        <v>0.782258064516128</v>
      </c>
      <c r="H45" s="30" t="s">
        <v>45</v>
      </c>
    </row>
    <row r="46" spans="1:8" ht="19.5" customHeight="1" x14ac:dyDescent="0.25">
      <c r="A46" s="32">
        <v>8</v>
      </c>
      <c r="B46" s="33" t="s">
        <v>52</v>
      </c>
      <c r="C46" s="32"/>
      <c r="D46" s="32">
        <v>723.15</v>
      </c>
      <c r="E46" s="34">
        <v>0.46500000000000002</v>
      </c>
      <c r="F46" s="34">
        <v>3.6299999999999999E-2</v>
      </c>
      <c r="G46" s="30" t="s">
        <v>53</v>
      </c>
      <c r="H46" s="30" t="s">
        <v>45</v>
      </c>
    </row>
    <row r="47" spans="1:8" ht="19.5" customHeight="1" x14ac:dyDescent="0.25">
      <c r="A47" s="32">
        <v>8</v>
      </c>
      <c r="B47" s="30" t="s">
        <v>52</v>
      </c>
      <c r="C47" s="32"/>
      <c r="D47" s="32">
        <v>773.15</v>
      </c>
      <c r="E47" s="34">
        <v>0.45400000000000001</v>
      </c>
      <c r="F47" s="34">
        <v>2.9000000000000001E-2</v>
      </c>
      <c r="G47" s="30" t="s">
        <v>53</v>
      </c>
      <c r="H47" s="30" t="s">
        <v>45</v>
      </c>
    </row>
    <row r="48" spans="1:8" ht="19.5" customHeight="1" x14ac:dyDescent="0.25">
      <c r="A48" s="32">
        <v>8</v>
      </c>
      <c r="B48" s="30" t="s">
        <v>52</v>
      </c>
      <c r="C48" s="32"/>
      <c r="D48" s="32">
        <v>823.15</v>
      </c>
      <c r="E48" s="34">
        <v>0.44700000000000001</v>
      </c>
      <c r="F48" s="34">
        <v>2.2800000000000001E-2</v>
      </c>
      <c r="G48" s="30" t="s">
        <v>53</v>
      </c>
      <c r="H48" s="30" t="s">
        <v>45</v>
      </c>
    </row>
    <row r="49" spans="1:10" ht="19.5" customHeight="1" x14ac:dyDescent="0.25">
      <c r="A49" s="32">
        <v>8</v>
      </c>
      <c r="B49" s="30" t="s">
        <v>52</v>
      </c>
      <c r="C49" s="32"/>
      <c r="D49" s="32">
        <v>873.15</v>
      </c>
      <c r="E49" s="34">
        <v>0.436</v>
      </c>
      <c r="F49" s="34">
        <v>2.8899999999999999E-2</v>
      </c>
      <c r="G49" s="30" t="s">
        <v>53</v>
      </c>
      <c r="H49" s="30" t="s">
        <v>45</v>
      </c>
    </row>
    <row r="50" spans="1:10" ht="19.5" customHeight="1" x14ac:dyDescent="0.25">
      <c r="A50" s="32">
        <v>8</v>
      </c>
      <c r="B50" s="30" t="s">
        <v>52</v>
      </c>
      <c r="C50" s="32"/>
      <c r="D50" s="32">
        <v>973.15</v>
      </c>
      <c r="E50" s="34">
        <v>0.442</v>
      </c>
      <c r="F50" s="34">
        <v>2.8899999999999999E-2</v>
      </c>
      <c r="G50" s="30" t="s">
        <v>53</v>
      </c>
      <c r="H50" s="30" t="s">
        <v>45</v>
      </c>
    </row>
    <row r="51" spans="1:10" ht="19.5" customHeight="1" x14ac:dyDescent="0.25">
      <c r="A51" s="32">
        <v>8</v>
      </c>
      <c r="B51" s="30" t="s">
        <v>52</v>
      </c>
      <c r="C51" s="32"/>
      <c r="D51" s="32">
        <v>1073.1500000000001</v>
      </c>
      <c r="E51" s="34">
        <v>0.42399999999999999</v>
      </c>
      <c r="F51" s="34">
        <v>2.63E-2</v>
      </c>
      <c r="G51" s="30" t="s">
        <v>53</v>
      </c>
      <c r="H51" s="30" t="s">
        <v>45</v>
      </c>
    </row>
    <row r="52" spans="1:10" ht="19.5" customHeight="1" x14ac:dyDescent="0.25">
      <c r="A52" s="32">
        <v>10</v>
      </c>
      <c r="B52" s="30" t="s">
        <v>54</v>
      </c>
      <c r="D52" s="34">
        <v>767.7</v>
      </c>
      <c r="E52" s="34">
        <v>0.68</v>
      </c>
      <c r="F52" s="34">
        <v>0.1</v>
      </c>
      <c r="G52" s="30" t="s">
        <v>53</v>
      </c>
      <c r="H52" s="30" t="s">
        <v>45</v>
      </c>
      <c r="I52" s="30" t="s">
        <v>55</v>
      </c>
      <c r="J52" s="30" t="s">
        <v>56</v>
      </c>
    </row>
    <row r="53" spans="1:10" ht="19.5" customHeight="1" x14ac:dyDescent="0.25">
      <c r="A53" s="32">
        <v>10</v>
      </c>
      <c r="B53" s="30" t="s">
        <v>54</v>
      </c>
      <c r="D53" s="34">
        <v>808.8</v>
      </c>
      <c r="E53" s="34">
        <v>0.59</v>
      </c>
      <c r="F53" s="34">
        <v>0.1</v>
      </c>
      <c r="G53" s="30" t="s">
        <v>53</v>
      </c>
      <c r="H53" s="30" t="s">
        <v>45</v>
      </c>
      <c r="I53" s="30" t="s">
        <v>55</v>
      </c>
      <c r="J53" s="30" t="s">
        <v>56</v>
      </c>
    </row>
    <row r="54" spans="1:10" ht="19.5" customHeight="1" x14ac:dyDescent="0.25">
      <c r="A54" s="32">
        <v>10</v>
      </c>
      <c r="B54" s="30" t="s">
        <v>54</v>
      </c>
      <c r="D54" s="34">
        <v>862.9</v>
      </c>
      <c r="E54" s="34">
        <v>0.71</v>
      </c>
      <c r="F54" s="34">
        <v>0.12</v>
      </c>
      <c r="G54" s="30" t="s">
        <v>53</v>
      </c>
      <c r="H54" s="30" t="s">
        <v>45</v>
      </c>
      <c r="I54" s="30" t="s">
        <v>55</v>
      </c>
      <c r="J54" s="30" t="s">
        <v>56</v>
      </c>
    </row>
    <row r="55" spans="1:10" ht="19.5" customHeight="1" x14ac:dyDescent="0.25">
      <c r="A55" s="32">
        <v>10</v>
      </c>
      <c r="B55" s="30" t="s">
        <v>54</v>
      </c>
      <c r="D55" s="34">
        <v>910.8</v>
      </c>
      <c r="E55" s="34">
        <v>0.77</v>
      </c>
      <c r="F55" s="34">
        <v>0.12</v>
      </c>
      <c r="G55" s="30" t="s">
        <v>53</v>
      </c>
      <c r="H55" s="30" t="s">
        <v>45</v>
      </c>
      <c r="I55" s="30" t="s">
        <v>55</v>
      </c>
      <c r="J55" s="30" t="s">
        <v>56</v>
      </c>
    </row>
    <row r="56" spans="1:10" ht="19.5" customHeight="1" x14ac:dyDescent="0.25">
      <c r="A56" s="32">
        <v>10</v>
      </c>
      <c r="B56" s="30" t="s">
        <v>54</v>
      </c>
      <c r="D56" s="34">
        <v>956.2</v>
      </c>
      <c r="E56" s="34">
        <v>0.7</v>
      </c>
      <c r="F56" s="34">
        <v>0.11</v>
      </c>
      <c r="G56" s="30" t="s">
        <v>53</v>
      </c>
      <c r="H56" s="30" t="s">
        <v>45</v>
      </c>
      <c r="I56" s="30" t="s">
        <v>55</v>
      </c>
      <c r="J56" s="30" t="s">
        <v>56</v>
      </c>
    </row>
    <row r="57" spans="1:10" ht="19.5" customHeight="1" x14ac:dyDescent="0.25">
      <c r="A57" s="32">
        <v>10</v>
      </c>
      <c r="B57" s="30" t="s">
        <v>54</v>
      </c>
      <c r="D57" s="34">
        <v>1004.8</v>
      </c>
      <c r="E57" s="34">
        <v>0.63</v>
      </c>
      <c r="F57" s="34">
        <v>0.11</v>
      </c>
      <c r="G57" s="30" t="s">
        <v>53</v>
      </c>
      <c r="H57" s="30" t="s">
        <v>45</v>
      </c>
      <c r="I57" s="30" t="s">
        <v>55</v>
      </c>
      <c r="J57" s="30" t="s">
        <v>56</v>
      </c>
    </row>
    <row r="58" spans="1:10" ht="19.5" customHeight="1" x14ac:dyDescent="0.25">
      <c r="A58" s="32">
        <v>11</v>
      </c>
      <c r="B58" s="30" t="s">
        <v>57</v>
      </c>
      <c r="D58" s="34">
        <v>768.5</v>
      </c>
      <c r="E58" s="34">
        <v>0.82</v>
      </c>
      <c r="F58" s="34">
        <v>0.12</v>
      </c>
      <c r="G58" s="30" t="s">
        <v>53</v>
      </c>
      <c r="H58" s="30" t="s">
        <v>45</v>
      </c>
      <c r="I58" s="30" t="s">
        <v>55</v>
      </c>
    </row>
    <row r="59" spans="1:10" ht="19.5" customHeight="1" x14ac:dyDescent="0.25">
      <c r="A59" s="32">
        <v>11</v>
      </c>
      <c r="B59" s="30" t="s">
        <v>57</v>
      </c>
      <c r="D59" s="34">
        <v>815.9</v>
      </c>
      <c r="E59" s="34">
        <v>0.75</v>
      </c>
      <c r="F59" s="34">
        <v>0.12</v>
      </c>
      <c r="G59" s="30" t="s">
        <v>53</v>
      </c>
      <c r="H59" s="30" t="s">
        <v>45</v>
      </c>
      <c r="I59" s="30" t="s">
        <v>55</v>
      </c>
    </row>
    <row r="60" spans="1:10" ht="19.5" customHeight="1" x14ac:dyDescent="0.25">
      <c r="A60" s="32">
        <v>11</v>
      </c>
      <c r="B60" s="30" t="s">
        <v>57</v>
      </c>
      <c r="D60" s="34">
        <v>861.1</v>
      </c>
      <c r="E60" s="34">
        <v>0.85</v>
      </c>
      <c r="F60" s="34">
        <v>0.14000000000000001</v>
      </c>
      <c r="G60" s="30" t="s">
        <v>53</v>
      </c>
      <c r="H60" s="30" t="s">
        <v>45</v>
      </c>
      <c r="I60" s="30" t="s">
        <v>55</v>
      </c>
    </row>
    <row r="61" spans="1:10" ht="19.5" customHeight="1" x14ac:dyDescent="0.25">
      <c r="A61" s="32">
        <v>11</v>
      </c>
      <c r="B61" s="30" t="s">
        <v>57</v>
      </c>
      <c r="D61" s="34">
        <v>909.7</v>
      </c>
      <c r="E61" s="34">
        <v>0.77</v>
      </c>
      <c r="F61" s="34">
        <v>0.11</v>
      </c>
      <c r="G61" s="30" t="s">
        <v>53</v>
      </c>
      <c r="H61" s="30" t="s">
        <v>45</v>
      </c>
      <c r="I61" s="30" t="s">
        <v>55</v>
      </c>
    </row>
    <row r="62" spans="1:10" ht="19.5" customHeight="1" x14ac:dyDescent="0.25">
      <c r="A62" s="32">
        <v>11</v>
      </c>
      <c r="B62" s="30" t="s">
        <v>57</v>
      </c>
      <c r="D62" s="34">
        <v>957.7</v>
      </c>
      <c r="E62" s="34">
        <v>0.68</v>
      </c>
      <c r="F62" s="34">
        <v>0.11</v>
      </c>
      <c r="G62" s="30" t="s">
        <v>53</v>
      </c>
      <c r="H62" s="30" t="s">
        <v>45</v>
      </c>
      <c r="I62" s="30" t="s">
        <v>55</v>
      </c>
    </row>
    <row r="63" spans="1:10" ht="19.5" customHeight="1" x14ac:dyDescent="0.25">
      <c r="A63" s="32">
        <v>11</v>
      </c>
      <c r="B63" s="30" t="s">
        <v>57</v>
      </c>
      <c r="D63" s="32">
        <v>1007</v>
      </c>
      <c r="E63" s="34">
        <v>0.7</v>
      </c>
      <c r="F63" s="34">
        <v>0.12</v>
      </c>
      <c r="G63" s="30" t="s">
        <v>53</v>
      </c>
      <c r="H63" s="30" t="s">
        <v>45</v>
      </c>
      <c r="I63" s="30" t="s">
        <v>55</v>
      </c>
    </row>
    <row r="64" spans="1:10" ht="19.5" customHeight="1" x14ac:dyDescent="0.25">
      <c r="A64" s="32">
        <v>12</v>
      </c>
      <c r="B64" s="30" t="s">
        <v>58</v>
      </c>
      <c r="D64" s="34">
        <v>966.7</v>
      </c>
      <c r="E64" s="34">
        <v>0.84</v>
      </c>
      <c r="F64" s="34">
        <v>0.12</v>
      </c>
      <c r="G64" s="30" t="s">
        <v>53</v>
      </c>
      <c r="H64" s="30" t="s">
        <v>45</v>
      </c>
      <c r="I64" s="30" t="s">
        <v>55</v>
      </c>
    </row>
    <row r="65" spans="1:14" ht="19.5" customHeight="1" x14ac:dyDescent="0.25">
      <c r="A65" s="32">
        <v>12</v>
      </c>
      <c r="B65" s="30" t="s">
        <v>58</v>
      </c>
      <c r="D65" s="34">
        <v>975.5</v>
      </c>
      <c r="E65" s="34">
        <v>0.77</v>
      </c>
      <c r="F65" s="34">
        <v>0.11</v>
      </c>
      <c r="G65" s="30" t="s">
        <v>53</v>
      </c>
      <c r="H65" s="30" t="s">
        <v>45</v>
      </c>
      <c r="I65" s="30" t="s">
        <v>55</v>
      </c>
    </row>
    <row r="66" spans="1:14" ht="19.5" customHeight="1" x14ac:dyDescent="0.25">
      <c r="A66" s="32">
        <v>12</v>
      </c>
      <c r="B66" s="30" t="s">
        <v>58</v>
      </c>
      <c r="D66" s="34">
        <v>983.6</v>
      </c>
      <c r="E66" s="34">
        <v>0.66</v>
      </c>
      <c r="F66" s="34">
        <v>0.11</v>
      </c>
      <c r="G66" s="30" t="s">
        <v>53</v>
      </c>
      <c r="H66" s="30" t="s">
        <v>45</v>
      </c>
      <c r="I66" s="30" t="s">
        <v>55</v>
      </c>
    </row>
    <row r="67" spans="1:14" ht="19.5" customHeight="1" x14ac:dyDescent="0.25">
      <c r="A67" s="32">
        <v>12</v>
      </c>
      <c r="B67" s="30" t="s">
        <v>58</v>
      </c>
      <c r="D67" s="34">
        <v>990.9</v>
      </c>
      <c r="E67" s="34">
        <v>0.66</v>
      </c>
      <c r="F67" s="34">
        <v>0.12</v>
      </c>
      <c r="G67" s="30" t="s">
        <v>53</v>
      </c>
      <c r="H67" s="30" t="s">
        <v>45</v>
      </c>
      <c r="I67" s="30" t="s">
        <v>55</v>
      </c>
    </row>
    <row r="68" spans="1:14" ht="19.5" customHeight="1" x14ac:dyDescent="0.25">
      <c r="A68" s="32">
        <v>12</v>
      </c>
      <c r="B68" s="30" t="s">
        <v>58</v>
      </c>
      <c r="D68" s="34">
        <v>999.8</v>
      </c>
      <c r="E68" s="34">
        <v>0.59</v>
      </c>
      <c r="F68" s="34">
        <v>0.17</v>
      </c>
      <c r="G68" s="30" t="s">
        <v>53</v>
      </c>
      <c r="H68" s="30" t="s">
        <v>45</v>
      </c>
      <c r="I68" s="30" t="s">
        <v>55</v>
      </c>
    </row>
    <row r="69" spans="1:14" ht="19.5" customHeight="1" x14ac:dyDescent="0.25">
      <c r="A69" s="32">
        <v>13</v>
      </c>
      <c r="B69" s="30" t="s">
        <v>167</v>
      </c>
      <c r="D69" s="34">
        <v>761.2</v>
      </c>
      <c r="E69" s="34">
        <v>0.6</v>
      </c>
      <c r="F69" s="34">
        <v>0.1</v>
      </c>
      <c r="G69" s="30" t="s">
        <v>53</v>
      </c>
      <c r="H69" s="30" t="s">
        <v>45</v>
      </c>
      <c r="I69" s="30" t="s">
        <v>55</v>
      </c>
    </row>
    <row r="70" spans="1:14" ht="19.5" customHeight="1" x14ac:dyDescent="0.25">
      <c r="A70" s="32">
        <v>13</v>
      </c>
      <c r="B70" s="30" t="s">
        <v>167</v>
      </c>
      <c r="D70" s="34">
        <v>811.3</v>
      </c>
      <c r="E70" s="34">
        <v>0.56999999999999995</v>
      </c>
      <c r="F70" s="34">
        <v>0.1</v>
      </c>
      <c r="G70" s="30" t="s">
        <v>53</v>
      </c>
      <c r="H70" s="30" t="s">
        <v>45</v>
      </c>
      <c r="I70" s="30" t="s">
        <v>55</v>
      </c>
    </row>
    <row r="71" spans="1:14" ht="19.5" customHeight="1" x14ac:dyDescent="0.25">
      <c r="A71" s="32">
        <v>13</v>
      </c>
      <c r="B71" s="30" t="s">
        <v>167</v>
      </c>
      <c r="D71" s="34">
        <v>860.5</v>
      </c>
      <c r="E71" s="34">
        <v>0.52</v>
      </c>
      <c r="F71" s="34">
        <v>0.09</v>
      </c>
      <c r="G71" s="30" t="s">
        <v>53</v>
      </c>
      <c r="H71" s="30" t="s">
        <v>45</v>
      </c>
      <c r="I71" s="30" t="s">
        <v>55</v>
      </c>
    </row>
    <row r="72" spans="1:14" ht="19.5" customHeight="1" x14ac:dyDescent="0.25">
      <c r="A72" s="32">
        <v>13</v>
      </c>
      <c r="B72" s="30" t="s">
        <v>167</v>
      </c>
      <c r="D72" s="34">
        <v>908.5</v>
      </c>
      <c r="E72" s="34">
        <v>0.5</v>
      </c>
      <c r="F72" s="34">
        <v>0.09</v>
      </c>
      <c r="G72" s="30" t="s">
        <v>53</v>
      </c>
      <c r="H72" s="30" t="s">
        <v>45</v>
      </c>
      <c r="I72" s="30" t="s">
        <v>55</v>
      </c>
    </row>
    <row r="73" spans="1:14" ht="19.5" customHeight="1" x14ac:dyDescent="0.25">
      <c r="A73" s="32">
        <v>13</v>
      </c>
      <c r="B73" s="30" t="s">
        <v>167</v>
      </c>
      <c r="D73" s="34">
        <v>958.5</v>
      </c>
      <c r="E73" s="34">
        <v>0.49</v>
      </c>
      <c r="F73" s="34">
        <v>7.0000000000000007E-2</v>
      </c>
      <c r="G73" s="30" t="s">
        <v>53</v>
      </c>
      <c r="H73" s="30" t="s">
        <v>45</v>
      </c>
      <c r="I73" s="30" t="s">
        <v>55</v>
      </c>
    </row>
    <row r="74" spans="1:14" ht="19.5" customHeight="1" x14ac:dyDescent="0.25">
      <c r="A74" s="32">
        <v>13</v>
      </c>
      <c r="B74" s="30" t="s">
        <v>167</v>
      </c>
      <c r="D74" s="34">
        <v>1008.2</v>
      </c>
      <c r="E74" s="34">
        <v>0.5</v>
      </c>
      <c r="F74" s="34">
        <v>0.08</v>
      </c>
      <c r="G74" s="30" t="s">
        <v>53</v>
      </c>
      <c r="H74" s="30" t="s">
        <v>45</v>
      </c>
      <c r="I74" s="30" t="s">
        <v>55</v>
      </c>
    </row>
    <row r="75" spans="1:14" ht="19.5" customHeight="1" x14ac:dyDescent="0.25">
      <c r="A75" s="32">
        <v>14</v>
      </c>
      <c r="B75" s="30" t="s">
        <v>176</v>
      </c>
      <c r="D75" s="34">
        <v>933.1</v>
      </c>
      <c r="E75" s="34">
        <v>0.88</v>
      </c>
      <c r="F75" s="34">
        <v>0.14000000000000001</v>
      </c>
      <c r="G75" s="30" t="s">
        <v>53</v>
      </c>
      <c r="H75" s="30" t="s">
        <v>45</v>
      </c>
      <c r="I75" s="30" t="s">
        <v>55</v>
      </c>
      <c r="M75">
        <f>INTERCEPT(E75:E79,D75:D79)</f>
        <v>1.373520053703863</v>
      </c>
      <c r="N75">
        <f>SLOPE(E75:E79,D75:D79)</f>
        <v>-5.444974852953727E-4</v>
      </c>
    </row>
    <row r="76" spans="1:14" ht="19.5" customHeight="1" x14ac:dyDescent="0.25">
      <c r="A76" s="32">
        <v>14</v>
      </c>
      <c r="B76" s="30" t="s">
        <v>176</v>
      </c>
      <c r="D76" s="34">
        <v>950.7</v>
      </c>
      <c r="E76" s="34">
        <v>0.93</v>
      </c>
      <c r="F76" s="34">
        <v>0.15</v>
      </c>
      <c r="G76" s="30" t="s">
        <v>53</v>
      </c>
      <c r="H76" s="30" t="s">
        <v>45</v>
      </c>
      <c r="I76" s="30" t="s">
        <v>55</v>
      </c>
    </row>
    <row r="77" spans="1:14" ht="19.5" customHeight="1" x14ac:dyDescent="0.25">
      <c r="A77" s="32">
        <v>14</v>
      </c>
      <c r="B77" s="30" t="s">
        <v>176</v>
      </c>
      <c r="D77" s="34">
        <v>966.7</v>
      </c>
      <c r="E77" s="34">
        <v>0.73</v>
      </c>
      <c r="F77" s="34">
        <v>0.12</v>
      </c>
      <c r="G77" s="30" t="s">
        <v>53</v>
      </c>
      <c r="H77" s="30" t="s">
        <v>45</v>
      </c>
      <c r="I77" s="30" t="s">
        <v>55</v>
      </c>
    </row>
    <row r="78" spans="1:14" ht="19.5" customHeight="1" x14ac:dyDescent="0.25">
      <c r="A78" s="32">
        <v>14</v>
      </c>
      <c r="B78" s="30" t="s">
        <v>176</v>
      </c>
      <c r="D78" s="34">
        <v>986.7</v>
      </c>
      <c r="E78" s="34">
        <v>0.81</v>
      </c>
      <c r="F78" s="34">
        <v>0.14000000000000001</v>
      </c>
      <c r="G78" s="30" t="s">
        <v>53</v>
      </c>
      <c r="H78" s="30" t="s">
        <v>45</v>
      </c>
      <c r="I78" s="30" t="s">
        <v>55</v>
      </c>
    </row>
    <row r="79" spans="1:14" ht="19.5" customHeight="1" x14ac:dyDescent="0.25">
      <c r="A79" s="32">
        <v>14</v>
      </c>
      <c r="B79" s="30" t="s">
        <v>176</v>
      </c>
      <c r="D79" s="34">
        <v>1006.9</v>
      </c>
      <c r="E79" s="34">
        <v>0.88</v>
      </c>
      <c r="F79" s="34">
        <v>0.13</v>
      </c>
      <c r="G79" s="30" t="s">
        <v>53</v>
      </c>
      <c r="H79" s="30" t="s">
        <v>45</v>
      </c>
      <c r="I79" s="30" t="s">
        <v>55</v>
      </c>
    </row>
    <row r="80" spans="1:14" ht="19.5" customHeight="1" x14ac:dyDescent="0.25">
      <c r="A80" s="32">
        <v>15</v>
      </c>
      <c r="B80" s="30" t="s">
        <v>59</v>
      </c>
      <c r="D80" s="34">
        <v>834.2</v>
      </c>
      <c r="E80" s="34">
        <v>0.79</v>
      </c>
      <c r="F80" s="34">
        <v>7.9000000000000001E-2</v>
      </c>
      <c r="G80" s="30" t="s">
        <v>53</v>
      </c>
      <c r="H80" s="30" t="s">
        <v>45</v>
      </c>
      <c r="I80" s="30" t="s">
        <v>60</v>
      </c>
      <c r="J80" s="30" t="s">
        <v>56</v>
      </c>
    </row>
    <row r="81" spans="1:10" ht="19.5" customHeight="1" x14ac:dyDescent="0.25">
      <c r="A81" s="32">
        <v>15</v>
      </c>
      <c r="B81" s="30" t="s">
        <v>59</v>
      </c>
      <c r="D81" s="34">
        <v>833.8</v>
      </c>
      <c r="E81" s="34">
        <v>0.78</v>
      </c>
      <c r="F81" s="34">
        <v>7.8E-2</v>
      </c>
      <c r="G81" s="30" t="s">
        <v>53</v>
      </c>
      <c r="H81" s="30" t="s">
        <v>45</v>
      </c>
      <c r="I81" s="30" t="s">
        <v>60</v>
      </c>
      <c r="J81" s="30" t="s">
        <v>56</v>
      </c>
    </row>
    <row r="82" spans="1:10" ht="19.5" customHeight="1" x14ac:dyDescent="0.25">
      <c r="A82" s="32">
        <v>15</v>
      </c>
      <c r="B82" s="30" t="s">
        <v>59</v>
      </c>
      <c r="D82" s="34">
        <v>946.2</v>
      </c>
      <c r="E82" s="34">
        <v>0.8</v>
      </c>
      <c r="F82" s="34">
        <v>0.08</v>
      </c>
      <c r="G82" s="30" t="s">
        <v>53</v>
      </c>
      <c r="H82" s="30" t="s">
        <v>45</v>
      </c>
      <c r="I82" s="30" t="s">
        <v>60</v>
      </c>
      <c r="J82" s="30" t="s">
        <v>56</v>
      </c>
    </row>
    <row r="83" spans="1:10" ht="19.5" customHeight="1" x14ac:dyDescent="0.25">
      <c r="A83" s="32">
        <v>15</v>
      </c>
      <c r="B83" s="30" t="s">
        <v>59</v>
      </c>
      <c r="D83" s="34">
        <v>945.8</v>
      </c>
      <c r="E83" s="34">
        <v>0.74</v>
      </c>
      <c r="F83" s="34">
        <v>7.3999999999999996E-2</v>
      </c>
      <c r="G83" s="30" t="s">
        <v>53</v>
      </c>
      <c r="H83" s="30" t="s">
        <v>45</v>
      </c>
      <c r="I83" s="30" t="s">
        <v>60</v>
      </c>
      <c r="J83" s="30" t="s">
        <v>56</v>
      </c>
    </row>
    <row r="84" spans="1:10" ht="19.5" customHeight="1" x14ac:dyDescent="0.25">
      <c r="A84" s="32">
        <v>15</v>
      </c>
      <c r="B84" s="30" t="s">
        <v>59</v>
      </c>
      <c r="D84" s="34">
        <v>1024.9000000000001</v>
      </c>
      <c r="E84" s="34">
        <v>0.68</v>
      </c>
      <c r="F84" s="34">
        <v>6.8000000000000005E-2</v>
      </c>
      <c r="G84" s="30" t="s">
        <v>53</v>
      </c>
      <c r="H84" s="30" t="s">
        <v>45</v>
      </c>
      <c r="I84" s="30" t="s">
        <v>60</v>
      </c>
      <c r="J84" s="30" t="s">
        <v>56</v>
      </c>
    </row>
    <row r="85" spans="1:10" ht="19.5" customHeight="1" x14ac:dyDescent="0.25">
      <c r="A85" s="32">
        <v>15</v>
      </c>
      <c r="B85" s="30" t="s">
        <v>59</v>
      </c>
      <c r="D85" s="34">
        <v>1024.5</v>
      </c>
      <c r="E85" s="34">
        <v>0.69</v>
      </c>
      <c r="F85" s="34">
        <v>6.9000000000000006E-2</v>
      </c>
      <c r="G85" s="30" t="s">
        <v>53</v>
      </c>
      <c r="H85" s="30" t="s">
        <v>45</v>
      </c>
      <c r="I85" s="30" t="s">
        <v>60</v>
      </c>
      <c r="J85" s="30" t="s">
        <v>56</v>
      </c>
    </row>
    <row r="86" spans="1:10" ht="19.5" customHeight="1" x14ac:dyDescent="0.25">
      <c r="A86" s="32">
        <v>15</v>
      </c>
      <c r="B86" s="30" t="s">
        <v>59</v>
      </c>
      <c r="D86" s="34">
        <v>1024.5</v>
      </c>
      <c r="E86" s="34">
        <v>0.78</v>
      </c>
      <c r="F86" s="34">
        <v>7.8E-2</v>
      </c>
      <c r="G86" s="30" t="s">
        <v>53</v>
      </c>
      <c r="H86" s="30" t="s">
        <v>45</v>
      </c>
      <c r="I86" s="30" t="s">
        <v>60</v>
      </c>
      <c r="J86" s="30" t="s">
        <v>56</v>
      </c>
    </row>
    <row r="87" spans="1:10" ht="19.5" customHeight="1" x14ac:dyDescent="0.25">
      <c r="A87" s="32">
        <v>15</v>
      </c>
      <c r="B87" s="30" t="s">
        <v>59</v>
      </c>
      <c r="D87" s="32">
        <v>1100</v>
      </c>
      <c r="E87" s="34">
        <v>0.78</v>
      </c>
      <c r="F87" s="34">
        <v>7.8E-2</v>
      </c>
      <c r="G87" s="30" t="s">
        <v>53</v>
      </c>
      <c r="H87" s="30" t="s">
        <v>45</v>
      </c>
      <c r="I87" s="30" t="s">
        <v>60</v>
      </c>
      <c r="J87" s="30" t="s">
        <v>56</v>
      </c>
    </row>
    <row r="88" spans="1:10" ht="19.5" customHeight="1" x14ac:dyDescent="0.25">
      <c r="A88" s="32">
        <v>15</v>
      </c>
      <c r="B88" s="30" t="s">
        <v>59</v>
      </c>
      <c r="D88" s="32">
        <v>1100</v>
      </c>
      <c r="E88" s="34">
        <v>0.76</v>
      </c>
      <c r="F88" s="34">
        <v>7.5999999999999998E-2</v>
      </c>
      <c r="G88" s="30" t="s">
        <v>53</v>
      </c>
      <c r="H88" s="30" t="s">
        <v>45</v>
      </c>
      <c r="I88" s="30" t="s">
        <v>60</v>
      </c>
      <c r="J88" s="30" t="s">
        <v>56</v>
      </c>
    </row>
    <row r="89" spans="1:10" ht="19.5" customHeight="1" x14ac:dyDescent="0.25">
      <c r="A89" s="32">
        <v>15</v>
      </c>
      <c r="B89" s="30" t="s">
        <v>59</v>
      </c>
      <c r="D89" s="32">
        <v>1100</v>
      </c>
      <c r="E89" s="34">
        <v>0.76</v>
      </c>
      <c r="F89" s="34">
        <v>7.5999999999999998E-2</v>
      </c>
      <c r="G89" s="30" t="s">
        <v>53</v>
      </c>
      <c r="H89" s="30" t="s">
        <v>45</v>
      </c>
      <c r="I89" s="30" t="s">
        <v>60</v>
      </c>
      <c r="J89" s="30" t="s">
        <v>56</v>
      </c>
    </row>
    <row r="90" spans="1:10" ht="19.5" customHeight="1" x14ac:dyDescent="0.25">
      <c r="A90" s="32">
        <v>15</v>
      </c>
      <c r="B90" s="30" t="s">
        <v>59</v>
      </c>
      <c r="D90" s="32">
        <v>1195</v>
      </c>
      <c r="E90" s="34">
        <v>0.80700000000000005</v>
      </c>
      <c r="F90" s="34">
        <v>8.1000000000000003E-2</v>
      </c>
      <c r="G90" s="30" t="s">
        <v>53</v>
      </c>
      <c r="H90" s="30" t="s">
        <v>45</v>
      </c>
      <c r="I90" s="30" t="s">
        <v>60</v>
      </c>
      <c r="J90" s="30" t="s">
        <v>56</v>
      </c>
    </row>
    <row r="91" spans="1:10" ht="19.5" customHeight="1" x14ac:dyDescent="0.25">
      <c r="A91" s="32">
        <v>15</v>
      </c>
      <c r="B91" s="30" t="s">
        <v>59</v>
      </c>
      <c r="D91" s="32">
        <v>1195</v>
      </c>
      <c r="E91" s="34">
        <v>0.85</v>
      </c>
      <c r="F91" s="34">
        <v>8.5000000000000006E-2</v>
      </c>
      <c r="G91" s="30" t="s">
        <v>53</v>
      </c>
      <c r="H91" s="30" t="s">
        <v>45</v>
      </c>
      <c r="I91" s="30" t="s">
        <v>60</v>
      </c>
      <c r="J91" s="30" t="s">
        <v>56</v>
      </c>
    </row>
    <row r="92" spans="1:10" ht="19.5" customHeight="1" x14ac:dyDescent="0.25">
      <c r="A92" s="32">
        <v>16</v>
      </c>
      <c r="B92" s="30" t="s">
        <v>61</v>
      </c>
      <c r="D92" s="34">
        <v>812.64</v>
      </c>
      <c r="E92" s="34">
        <v>4.51</v>
      </c>
      <c r="F92" s="34">
        <v>0.34699999999999998</v>
      </c>
      <c r="I92" s="30" t="s">
        <v>62</v>
      </c>
      <c r="J92" s="30" t="s">
        <v>56</v>
      </c>
    </row>
    <row r="93" spans="1:10" ht="19.5" customHeight="1" x14ac:dyDescent="0.25">
      <c r="A93" s="32">
        <v>16</v>
      </c>
      <c r="B93" s="30" t="s">
        <v>61</v>
      </c>
      <c r="D93" s="34">
        <v>892.73</v>
      </c>
      <c r="E93" s="34">
        <v>4.32</v>
      </c>
      <c r="F93" s="32">
        <v>0</v>
      </c>
      <c r="J93" s="30" t="s">
        <v>56</v>
      </c>
    </row>
    <row r="94" spans="1:10" ht="19.5" customHeight="1" x14ac:dyDescent="0.25">
      <c r="A94" s="32">
        <v>16</v>
      </c>
      <c r="B94" s="30" t="s">
        <v>61</v>
      </c>
      <c r="D94" s="34">
        <v>962.53</v>
      </c>
      <c r="E94" s="34">
        <v>5.03</v>
      </c>
      <c r="F94" s="34">
        <v>0.69399999999999995</v>
      </c>
      <c r="J94" s="30" t="s">
        <v>56</v>
      </c>
    </row>
    <row r="95" spans="1:10" ht="19.5" customHeight="1" x14ac:dyDescent="0.25">
      <c r="A95" s="32">
        <v>17</v>
      </c>
      <c r="B95" s="30" t="s">
        <v>63</v>
      </c>
      <c r="D95" s="34">
        <v>771.03</v>
      </c>
      <c r="E95" s="34">
        <v>2.39</v>
      </c>
      <c r="I95" s="30" t="s">
        <v>64</v>
      </c>
      <c r="J95" s="30" t="s">
        <v>56</v>
      </c>
    </row>
    <row r="96" spans="1:10" ht="19.5" customHeight="1" x14ac:dyDescent="0.25">
      <c r="A96" s="32">
        <v>17</v>
      </c>
      <c r="B96" s="30" t="s">
        <v>63</v>
      </c>
      <c r="D96" s="34">
        <v>801.01</v>
      </c>
      <c r="E96" s="34">
        <v>2.5</v>
      </c>
      <c r="J96" s="30" t="s">
        <v>56</v>
      </c>
    </row>
    <row r="97" spans="1:10" ht="19.5" customHeight="1" x14ac:dyDescent="0.25">
      <c r="A97" s="32">
        <v>17</v>
      </c>
      <c r="B97" s="30" t="s">
        <v>63</v>
      </c>
      <c r="D97" s="34">
        <v>852.01</v>
      </c>
      <c r="E97" s="34">
        <v>2.73</v>
      </c>
      <c r="J97" s="30" t="s">
        <v>56</v>
      </c>
    </row>
    <row r="98" spans="1:10" ht="19.5" customHeight="1" x14ac:dyDescent="0.25">
      <c r="A98" s="32">
        <v>17</v>
      </c>
      <c r="B98" s="30" t="s">
        <v>63</v>
      </c>
      <c r="D98" s="34">
        <v>922.71</v>
      </c>
      <c r="E98" s="34">
        <v>3.31</v>
      </c>
      <c r="J98" s="30" t="s">
        <v>56</v>
      </c>
    </row>
    <row r="99" spans="1:10" ht="19.5" customHeight="1" x14ac:dyDescent="0.25">
      <c r="A99" s="32">
        <v>17</v>
      </c>
      <c r="B99" s="30" t="s">
        <v>63</v>
      </c>
      <c r="D99" s="34">
        <v>1039.9000000000001</v>
      </c>
      <c r="E99" s="34">
        <v>4.42</v>
      </c>
      <c r="J99" s="30" t="s">
        <v>56</v>
      </c>
    </row>
    <row r="100" spans="1:10" ht="19.5" customHeight="1" x14ac:dyDescent="0.25">
      <c r="A100" s="32">
        <v>17</v>
      </c>
      <c r="B100" s="30" t="s">
        <v>63</v>
      </c>
      <c r="D100" s="34">
        <v>1119.5999999999999</v>
      </c>
      <c r="E100" s="34">
        <v>5.37</v>
      </c>
      <c r="J100" s="30" t="s">
        <v>56</v>
      </c>
    </row>
    <row r="101" spans="1:10" ht="19.5" customHeight="1" x14ac:dyDescent="0.25">
      <c r="A101" s="32">
        <v>17</v>
      </c>
      <c r="B101" s="30" t="s">
        <v>63</v>
      </c>
      <c r="D101" s="34">
        <v>855.649</v>
      </c>
      <c r="E101" s="34">
        <v>3.08</v>
      </c>
      <c r="J101" s="30" t="s">
        <v>56</v>
      </c>
    </row>
    <row r="102" spans="1:10" ht="19.5" customHeight="1" x14ac:dyDescent="0.25">
      <c r="A102" s="32">
        <v>17</v>
      </c>
      <c r="B102" s="30" t="s">
        <v>63</v>
      </c>
      <c r="D102" s="34">
        <v>871.25</v>
      </c>
      <c r="E102" s="34">
        <v>3.17</v>
      </c>
      <c r="J102" s="30" t="s">
        <v>56</v>
      </c>
    </row>
    <row r="103" spans="1:10" ht="19.5" customHeight="1" x14ac:dyDescent="0.25">
      <c r="A103" s="32">
        <v>17</v>
      </c>
      <c r="B103" s="30" t="s">
        <v>63</v>
      </c>
      <c r="D103" s="34">
        <v>902.13</v>
      </c>
      <c r="E103" s="34">
        <v>3.37</v>
      </c>
      <c r="J103" s="30" t="s">
        <v>56</v>
      </c>
    </row>
    <row r="104" spans="1:10" ht="19.5" customHeight="1" x14ac:dyDescent="0.25">
      <c r="A104" s="32">
        <v>17</v>
      </c>
      <c r="B104" s="30" t="s">
        <v>63</v>
      </c>
      <c r="D104" s="34">
        <v>932.1</v>
      </c>
      <c r="E104" s="34">
        <v>3.7</v>
      </c>
      <c r="J104" s="30" t="s">
        <v>56</v>
      </c>
    </row>
    <row r="105" spans="1:10" ht="19.5" customHeight="1" x14ac:dyDescent="0.25">
      <c r="A105" s="32">
        <v>17</v>
      </c>
      <c r="B105" s="30" t="s">
        <v>63</v>
      </c>
      <c r="D105" s="34">
        <v>974.16</v>
      </c>
      <c r="E105" s="34">
        <v>4.08</v>
      </c>
      <c r="J105" s="30" t="s">
        <v>56</v>
      </c>
    </row>
    <row r="106" spans="1:10" ht="19.5" customHeight="1" x14ac:dyDescent="0.25">
      <c r="A106" s="32">
        <v>17</v>
      </c>
      <c r="B106" s="30" t="s">
        <v>63</v>
      </c>
      <c r="D106" s="34">
        <v>1012.2</v>
      </c>
      <c r="E106" s="34">
        <v>4.57</v>
      </c>
      <c r="J106" s="30" t="s">
        <v>56</v>
      </c>
    </row>
    <row r="107" spans="1:10" ht="19.5" customHeight="1" x14ac:dyDescent="0.25">
      <c r="A107" s="32">
        <v>17</v>
      </c>
      <c r="B107" s="30" t="s">
        <v>63</v>
      </c>
      <c r="D107" s="34">
        <v>1050.2</v>
      </c>
      <c r="E107" s="34">
        <v>4.8600000000000003</v>
      </c>
      <c r="J107" s="30" t="s">
        <v>56</v>
      </c>
    </row>
    <row r="108" spans="1:10" ht="19.5" customHeight="1" x14ac:dyDescent="0.25">
      <c r="A108" s="32">
        <v>17</v>
      </c>
      <c r="B108" s="30" t="s">
        <v>63</v>
      </c>
      <c r="D108" s="34">
        <v>799.66</v>
      </c>
      <c r="E108" s="34">
        <v>2.91</v>
      </c>
      <c r="J108" s="30" t="s">
        <v>56</v>
      </c>
    </row>
    <row r="109" spans="1:10" ht="19.5" customHeight="1" x14ac:dyDescent="0.25">
      <c r="A109" s="32">
        <v>17</v>
      </c>
      <c r="B109" s="30" t="s">
        <v>63</v>
      </c>
      <c r="D109" s="34">
        <v>925.39</v>
      </c>
      <c r="E109" s="34">
        <v>4.46</v>
      </c>
      <c r="J109" s="30" t="s">
        <v>56</v>
      </c>
    </row>
    <row r="110" spans="1:10" ht="19.5" customHeight="1" x14ac:dyDescent="0.25">
      <c r="A110" s="32">
        <v>18</v>
      </c>
      <c r="B110" s="30" t="s">
        <v>65</v>
      </c>
      <c r="D110" s="34">
        <v>772.82</v>
      </c>
      <c r="E110" s="34">
        <v>0.21</v>
      </c>
      <c r="F110" s="34">
        <v>8.9999999999999993E-3</v>
      </c>
      <c r="I110" s="30" t="s">
        <v>66</v>
      </c>
      <c r="J110" s="30" t="s">
        <v>56</v>
      </c>
    </row>
    <row r="111" spans="1:10" ht="19.5" customHeight="1" x14ac:dyDescent="0.25">
      <c r="A111" s="32">
        <v>19</v>
      </c>
      <c r="B111" s="30" t="s">
        <v>67</v>
      </c>
      <c r="D111" s="34">
        <v>793.36</v>
      </c>
      <c r="E111" s="34">
        <v>0.8</v>
      </c>
      <c r="F111" s="34">
        <v>3.2000000000000001E-2</v>
      </c>
      <c r="I111" s="30" t="s">
        <v>68</v>
      </c>
      <c r="J111" s="30" t="s">
        <v>56</v>
      </c>
    </row>
    <row r="112" spans="1:10" ht="19.5" customHeight="1" x14ac:dyDescent="0.25">
      <c r="A112" s="32">
        <v>19</v>
      </c>
      <c r="B112" s="30" t="s">
        <v>67</v>
      </c>
      <c r="D112" s="34">
        <v>818.46</v>
      </c>
      <c r="E112" s="34">
        <v>0.83</v>
      </c>
      <c r="F112" s="34">
        <v>3.3000000000000002E-2</v>
      </c>
      <c r="J112" s="30" t="s">
        <v>56</v>
      </c>
    </row>
    <row r="113" spans="1:10" ht="19.5" customHeight="1" x14ac:dyDescent="0.25">
      <c r="A113" s="32">
        <v>19</v>
      </c>
      <c r="B113" s="30" t="s">
        <v>67</v>
      </c>
      <c r="D113" s="34">
        <v>851.01</v>
      </c>
      <c r="E113" s="34">
        <v>0.83</v>
      </c>
      <c r="F113" s="34">
        <v>3.3000000000000002E-2</v>
      </c>
      <c r="J113" s="30" t="s">
        <v>56</v>
      </c>
    </row>
    <row r="114" spans="1:10" ht="19.5" customHeight="1" x14ac:dyDescent="0.25">
      <c r="A114" s="32">
        <v>19</v>
      </c>
      <c r="B114" s="30" t="s">
        <v>67</v>
      </c>
      <c r="D114" s="34">
        <v>877.52</v>
      </c>
      <c r="E114" s="34">
        <v>0.84</v>
      </c>
      <c r="F114" s="34">
        <v>3.4000000000000002E-2</v>
      </c>
      <c r="J114" s="30" t="s">
        <v>56</v>
      </c>
    </row>
    <row r="115" spans="1:10" ht="19.5" customHeight="1" x14ac:dyDescent="0.25">
      <c r="A115" s="32">
        <v>19</v>
      </c>
      <c r="B115" s="30" t="s">
        <v>67</v>
      </c>
      <c r="D115" s="34">
        <v>907.38</v>
      </c>
      <c r="E115" s="34">
        <v>0.86</v>
      </c>
      <c r="F115" s="34">
        <v>3.4000000000000002E-2</v>
      </c>
      <c r="J115" s="30" t="s">
        <v>56</v>
      </c>
    </row>
    <row r="116" spans="1:10" ht="19.5" customHeight="1" x14ac:dyDescent="0.25">
      <c r="A116" s="32">
        <v>19</v>
      </c>
      <c r="B116" s="30" t="s">
        <v>67</v>
      </c>
      <c r="D116" s="34">
        <v>924.05</v>
      </c>
      <c r="E116" s="34">
        <v>0.87</v>
      </c>
      <c r="F116" s="34">
        <v>3.5000000000000003E-2</v>
      </c>
      <c r="J116" s="30" t="s">
        <v>56</v>
      </c>
    </row>
    <row r="117" spans="1:10" ht="19.5" customHeight="1" x14ac:dyDescent="0.25">
      <c r="A117" s="32">
        <v>19</v>
      </c>
      <c r="B117" s="30" t="s">
        <v>67</v>
      </c>
      <c r="D117" s="34">
        <v>942.05</v>
      </c>
      <c r="E117" s="34">
        <v>0.87</v>
      </c>
      <c r="F117" s="34">
        <v>3.5000000000000003E-2</v>
      </c>
      <c r="J117" s="30" t="s">
        <v>56</v>
      </c>
    </row>
    <row r="118" spans="1:10" ht="19.5" customHeight="1" x14ac:dyDescent="0.25">
      <c r="A118" s="32">
        <v>19</v>
      </c>
      <c r="B118" s="30" t="s">
        <v>67</v>
      </c>
      <c r="D118" s="34">
        <v>942.39</v>
      </c>
      <c r="E118" s="34">
        <v>0.89</v>
      </c>
      <c r="F118" s="34">
        <v>3.5999999999999997E-2</v>
      </c>
      <c r="J118" s="30" t="s">
        <v>56</v>
      </c>
    </row>
    <row r="119" spans="1:10" ht="19.5" customHeight="1" x14ac:dyDescent="0.25">
      <c r="A119" s="32">
        <v>19</v>
      </c>
      <c r="B119" s="30" t="s">
        <v>67</v>
      </c>
      <c r="D119" s="34">
        <v>1016.7</v>
      </c>
      <c r="E119" s="34">
        <v>0.9</v>
      </c>
      <c r="F119" s="34">
        <v>3.5999999999999997E-2</v>
      </c>
      <c r="J119" s="30" t="s">
        <v>56</v>
      </c>
    </row>
    <row r="120" spans="1:10" ht="19.5" customHeight="1" x14ac:dyDescent="0.25">
      <c r="A120" s="32">
        <v>19</v>
      </c>
      <c r="B120" s="30" t="s">
        <v>67</v>
      </c>
      <c r="D120" s="32">
        <v>1047</v>
      </c>
      <c r="E120" s="34">
        <v>0.93</v>
      </c>
      <c r="F120" s="34">
        <v>3.6999999999999998E-2</v>
      </c>
      <c r="J120" s="30" t="s">
        <v>56</v>
      </c>
    </row>
    <row r="121" spans="1:10" ht="19.5" customHeight="1" x14ac:dyDescent="0.25">
      <c r="A121" s="32">
        <v>19</v>
      </c>
      <c r="B121" s="30" t="s">
        <v>67</v>
      </c>
      <c r="D121" s="34">
        <v>1073.5</v>
      </c>
      <c r="E121" s="34">
        <v>0.95</v>
      </c>
      <c r="F121" s="34">
        <v>3.7999999999999999E-2</v>
      </c>
      <c r="J121" s="30" t="s">
        <v>56</v>
      </c>
    </row>
    <row r="122" spans="1:10" ht="19.5" customHeight="1" x14ac:dyDescent="0.25">
      <c r="A122" s="32">
        <v>20</v>
      </c>
      <c r="B122" s="30" t="s">
        <v>69</v>
      </c>
      <c r="D122" s="34">
        <v>780.55</v>
      </c>
      <c r="E122" s="34">
        <v>0.82</v>
      </c>
      <c r="F122" s="34">
        <v>3.3000000000000002E-2</v>
      </c>
      <c r="I122" s="30" t="s">
        <v>70</v>
      </c>
      <c r="J122" s="30" t="s">
        <v>56</v>
      </c>
    </row>
    <row r="123" spans="1:10" ht="19.5" customHeight="1" x14ac:dyDescent="0.25">
      <c r="A123" s="32">
        <v>20</v>
      </c>
      <c r="B123" s="30" t="s">
        <v>69</v>
      </c>
      <c r="D123" s="34">
        <v>816.85</v>
      </c>
      <c r="E123" s="34">
        <v>0.83</v>
      </c>
      <c r="F123" s="34">
        <v>3.3000000000000002E-2</v>
      </c>
      <c r="J123" s="30" t="s">
        <v>56</v>
      </c>
    </row>
    <row r="124" spans="1:10" ht="19.5" customHeight="1" x14ac:dyDescent="0.25">
      <c r="A124" s="32">
        <v>20</v>
      </c>
      <c r="B124" s="30" t="s">
        <v>69</v>
      </c>
      <c r="D124" s="34">
        <v>882.18</v>
      </c>
      <c r="E124" s="34">
        <v>0.87</v>
      </c>
      <c r="F124" s="34">
        <v>3.5000000000000003E-2</v>
      </c>
      <c r="J124" s="30" t="s">
        <v>56</v>
      </c>
    </row>
    <row r="125" spans="1:10" ht="19.5" customHeight="1" x14ac:dyDescent="0.25">
      <c r="A125" s="32">
        <v>20</v>
      </c>
      <c r="B125" s="30" t="s">
        <v>69</v>
      </c>
      <c r="D125" s="34">
        <v>950.5</v>
      </c>
      <c r="E125" s="34">
        <v>0.89</v>
      </c>
      <c r="F125" s="34">
        <v>3.5999999999999997E-2</v>
      </c>
      <c r="J125" s="30" t="s">
        <v>56</v>
      </c>
    </row>
    <row r="126" spans="1:10" ht="19.5" customHeight="1" x14ac:dyDescent="0.25">
      <c r="A126" s="32">
        <v>20</v>
      </c>
      <c r="B126" s="30" t="s">
        <v>69</v>
      </c>
      <c r="D126" s="34">
        <v>1029.9000000000001</v>
      </c>
      <c r="E126" s="34">
        <v>0.92</v>
      </c>
      <c r="F126" s="34">
        <v>3.6999999999999998E-2</v>
      </c>
      <c r="J126" s="30" t="s">
        <v>56</v>
      </c>
    </row>
    <row r="127" spans="1:10" ht="19.5" customHeight="1" x14ac:dyDescent="0.25">
      <c r="A127" s="32">
        <v>20</v>
      </c>
      <c r="B127" s="30" t="s">
        <v>69</v>
      </c>
      <c r="D127" s="32">
        <v>1079</v>
      </c>
      <c r="E127" s="34">
        <v>0.96</v>
      </c>
      <c r="F127" s="34">
        <v>3.7999999999999999E-2</v>
      </c>
      <c r="J127" s="30" t="s">
        <v>56</v>
      </c>
    </row>
    <row r="128" spans="1:10" ht="19.5" customHeight="1" x14ac:dyDescent="0.25">
      <c r="A128" s="32">
        <v>21</v>
      </c>
      <c r="B128" s="30" t="s">
        <v>71</v>
      </c>
      <c r="D128" s="34">
        <v>742.4</v>
      </c>
      <c r="E128" s="34">
        <v>0.79</v>
      </c>
      <c r="F128" s="34">
        <v>6.3E-2</v>
      </c>
      <c r="I128" s="30" t="s">
        <v>72</v>
      </c>
      <c r="J128" s="30" t="s">
        <v>56</v>
      </c>
    </row>
    <row r="129" spans="1:10" ht="19.5" customHeight="1" x14ac:dyDescent="0.25">
      <c r="A129" s="32">
        <v>21</v>
      </c>
      <c r="B129" s="30" t="s">
        <v>71</v>
      </c>
      <c r="D129" s="32">
        <v>747</v>
      </c>
      <c r="E129" s="34">
        <v>0.77</v>
      </c>
      <c r="F129" s="34">
        <v>6.2E-2</v>
      </c>
      <c r="J129" s="30" t="s">
        <v>56</v>
      </c>
    </row>
    <row r="130" spans="1:10" ht="19.5" customHeight="1" x14ac:dyDescent="0.25">
      <c r="A130" s="32">
        <v>21</v>
      </c>
      <c r="B130" s="30" t="s">
        <v>71</v>
      </c>
      <c r="D130" s="34">
        <v>747.8</v>
      </c>
      <c r="E130" s="34">
        <v>0.79</v>
      </c>
      <c r="F130" s="34">
        <v>6.4000000000000001E-2</v>
      </c>
      <c r="J130" s="30" t="s">
        <v>56</v>
      </c>
    </row>
    <row r="131" spans="1:10" ht="19.5" customHeight="1" x14ac:dyDescent="0.25">
      <c r="A131" s="32">
        <v>21</v>
      </c>
      <c r="B131" s="30" t="s">
        <v>71</v>
      </c>
      <c r="D131" s="34">
        <v>747.8</v>
      </c>
      <c r="E131" s="34">
        <v>0.79</v>
      </c>
      <c r="F131" s="34">
        <v>6.3E-2</v>
      </c>
      <c r="J131" s="30" t="s">
        <v>56</v>
      </c>
    </row>
    <row r="132" spans="1:10" ht="19.5" customHeight="1" x14ac:dyDescent="0.25">
      <c r="A132" s="32">
        <v>21</v>
      </c>
      <c r="B132" s="30" t="s">
        <v>71</v>
      </c>
      <c r="D132" s="34">
        <v>747.8</v>
      </c>
      <c r="E132" s="34">
        <v>0.78</v>
      </c>
      <c r="F132" s="34">
        <v>6.2E-2</v>
      </c>
      <c r="J132" s="30" t="s">
        <v>56</v>
      </c>
    </row>
    <row r="133" spans="1:10" ht="19.5" customHeight="1" x14ac:dyDescent="0.25">
      <c r="A133" s="32">
        <v>21</v>
      </c>
      <c r="B133" s="30" t="s">
        <v>71</v>
      </c>
      <c r="D133" s="34">
        <v>762.6</v>
      </c>
      <c r="E133" s="34">
        <v>0.78</v>
      </c>
      <c r="F133" s="34">
        <v>6.2E-2</v>
      </c>
      <c r="J133" s="30" t="s">
        <v>56</v>
      </c>
    </row>
    <row r="134" spans="1:10" ht="19.5" customHeight="1" x14ac:dyDescent="0.25">
      <c r="A134" s="32">
        <v>21</v>
      </c>
      <c r="B134" s="30" t="s">
        <v>71</v>
      </c>
      <c r="D134" s="34">
        <v>762.8</v>
      </c>
      <c r="E134" s="34">
        <v>0.77</v>
      </c>
      <c r="F134" s="34">
        <v>6.2E-2</v>
      </c>
      <c r="J134" s="30" t="s">
        <v>56</v>
      </c>
    </row>
    <row r="135" spans="1:10" ht="19.5" customHeight="1" x14ac:dyDescent="0.25">
      <c r="A135" s="32">
        <v>21</v>
      </c>
      <c r="B135" s="30" t="s">
        <v>71</v>
      </c>
      <c r="D135" s="34">
        <v>772.2</v>
      </c>
      <c r="E135" s="34">
        <v>0.76</v>
      </c>
      <c r="F135" s="34">
        <v>6.0999999999999999E-2</v>
      </c>
      <c r="J135" s="30" t="s">
        <v>56</v>
      </c>
    </row>
    <row r="136" spans="1:10" ht="19.5" customHeight="1" x14ac:dyDescent="0.25">
      <c r="A136" s="32">
        <v>21</v>
      </c>
      <c r="B136" s="30" t="s">
        <v>71</v>
      </c>
      <c r="D136" s="34">
        <v>772.5</v>
      </c>
      <c r="E136" s="34">
        <v>0.78</v>
      </c>
      <c r="F136" s="34">
        <v>6.3E-2</v>
      </c>
      <c r="J136" s="30" t="s">
        <v>56</v>
      </c>
    </row>
    <row r="137" spans="1:10" ht="19.5" customHeight="1" x14ac:dyDescent="0.25">
      <c r="A137" s="32">
        <v>21</v>
      </c>
      <c r="B137" s="30" t="s">
        <v>71</v>
      </c>
      <c r="D137" s="34">
        <v>772.4</v>
      </c>
      <c r="E137" s="34">
        <v>0.77</v>
      </c>
      <c r="F137" s="34">
        <v>6.2E-2</v>
      </c>
      <c r="J137" s="30" t="s">
        <v>56</v>
      </c>
    </row>
    <row r="138" spans="1:10" ht="19.5" customHeight="1" x14ac:dyDescent="0.25">
      <c r="A138" s="32">
        <v>21</v>
      </c>
      <c r="B138" s="30" t="s">
        <v>71</v>
      </c>
      <c r="D138" s="32">
        <v>783</v>
      </c>
      <c r="E138" s="34">
        <v>0.77</v>
      </c>
      <c r="F138" s="34">
        <v>6.0999999999999999E-2</v>
      </c>
      <c r="J138" s="30" t="s">
        <v>56</v>
      </c>
    </row>
    <row r="139" spans="1:10" ht="19.5" customHeight="1" x14ac:dyDescent="0.25">
      <c r="A139" s="32">
        <v>21</v>
      </c>
      <c r="B139" s="30" t="s">
        <v>71</v>
      </c>
      <c r="D139" s="34">
        <v>783.4</v>
      </c>
      <c r="E139" s="34">
        <v>0.79</v>
      </c>
      <c r="F139" s="34">
        <v>6.3E-2</v>
      </c>
      <c r="J139" s="30" t="s">
        <v>56</v>
      </c>
    </row>
    <row r="140" spans="1:10" ht="19.5" customHeight="1" x14ac:dyDescent="0.25">
      <c r="A140" s="32">
        <v>21</v>
      </c>
      <c r="B140" s="30" t="s">
        <v>71</v>
      </c>
      <c r="D140" s="34">
        <v>797.7</v>
      </c>
      <c r="E140" s="34">
        <v>0.77</v>
      </c>
      <c r="F140" s="34">
        <v>6.2E-2</v>
      </c>
      <c r="J140" s="30" t="s">
        <v>56</v>
      </c>
    </row>
    <row r="141" spans="1:10" ht="19.5" customHeight="1" x14ac:dyDescent="0.25">
      <c r="A141" s="32">
        <v>21</v>
      </c>
      <c r="B141" s="30" t="s">
        <v>71</v>
      </c>
      <c r="D141" s="34">
        <v>797.6</v>
      </c>
      <c r="E141" s="34">
        <v>0.76</v>
      </c>
      <c r="F141" s="34">
        <v>6.0999999999999999E-2</v>
      </c>
      <c r="J141" s="30" t="s">
        <v>56</v>
      </c>
    </row>
    <row r="142" spans="1:10" ht="19.5" customHeight="1" x14ac:dyDescent="0.25">
      <c r="A142" s="32">
        <v>21</v>
      </c>
      <c r="B142" s="30" t="s">
        <v>71</v>
      </c>
      <c r="D142" s="34">
        <v>802.1</v>
      </c>
      <c r="E142" s="34">
        <v>0.76</v>
      </c>
      <c r="F142" s="34">
        <v>6.0999999999999999E-2</v>
      </c>
      <c r="J142" s="30" t="s">
        <v>56</v>
      </c>
    </row>
    <row r="143" spans="1:10" ht="19.5" customHeight="1" x14ac:dyDescent="0.25">
      <c r="A143" s="32">
        <v>21</v>
      </c>
      <c r="B143" s="30" t="s">
        <v>71</v>
      </c>
      <c r="D143" s="34">
        <v>822.4</v>
      </c>
      <c r="E143" s="34">
        <v>0.76</v>
      </c>
      <c r="F143" s="34">
        <v>6.0999999999999999E-2</v>
      </c>
      <c r="J143" s="30" t="s">
        <v>56</v>
      </c>
    </row>
    <row r="144" spans="1:10" ht="19.5" customHeight="1" x14ac:dyDescent="0.25">
      <c r="A144" s="32">
        <v>21</v>
      </c>
      <c r="B144" s="30" t="s">
        <v>71</v>
      </c>
      <c r="D144" s="34">
        <v>847.7</v>
      </c>
      <c r="E144" s="34">
        <v>0.77</v>
      </c>
      <c r="F144" s="34">
        <v>6.2E-2</v>
      </c>
      <c r="J144" s="30" t="s">
        <v>56</v>
      </c>
    </row>
    <row r="145" spans="1:10" ht="19.5" customHeight="1" x14ac:dyDescent="0.25">
      <c r="A145" s="32">
        <v>21</v>
      </c>
      <c r="B145" s="30" t="s">
        <v>71</v>
      </c>
      <c r="D145" s="34">
        <v>798.1</v>
      </c>
      <c r="E145" s="34">
        <v>0.78</v>
      </c>
      <c r="F145" s="34">
        <v>6.3E-2</v>
      </c>
      <c r="J145" s="30" t="s">
        <v>56</v>
      </c>
    </row>
    <row r="146" spans="1:10" ht="19.5" customHeight="1" x14ac:dyDescent="0.25">
      <c r="A146" s="32">
        <v>21</v>
      </c>
      <c r="B146" s="30" t="s">
        <v>71</v>
      </c>
      <c r="D146" s="34">
        <v>797.8</v>
      </c>
      <c r="E146" s="34">
        <v>0.78</v>
      </c>
      <c r="F146" s="34">
        <v>6.2E-2</v>
      </c>
      <c r="J146" s="30" t="s">
        <v>56</v>
      </c>
    </row>
    <row r="147" spans="1:10" ht="19.5" customHeight="1" x14ac:dyDescent="0.25">
      <c r="A147" s="32">
        <v>22</v>
      </c>
      <c r="B147" s="30" t="s">
        <v>73</v>
      </c>
      <c r="D147" s="34">
        <v>773.29</v>
      </c>
      <c r="E147" s="34">
        <v>0.65</v>
      </c>
      <c r="F147" s="34">
        <v>1.6E-2</v>
      </c>
      <c r="I147" s="30" t="s">
        <v>74</v>
      </c>
      <c r="J147" s="30" t="s">
        <v>56</v>
      </c>
    </row>
    <row r="148" spans="1:10" ht="19.5" customHeight="1" x14ac:dyDescent="0.25">
      <c r="A148" s="32">
        <v>22</v>
      </c>
      <c r="B148" s="30" t="s">
        <v>73</v>
      </c>
      <c r="D148" s="34">
        <v>823.68</v>
      </c>
      <c r="E148" s="34">
        <v>0.78</v>
      </c>
      <c r="F148" s="32">
        <v>0</v>
      </c>
      <c r="J148" s="30" t="s">
        <v>56</v>
      </c>
    </row>
    <row r="149" spans="1:10" ht="19.5" customHeight="1" x14ac:dyDescent="0.25">
      <c r="A149" s="32">
        <v>22</v>
      </c>
      <c r="B149" s="30" t="s">
        <v>73</v>
      </c>
      <c r="D149" s="34">
        <v>873.04</v>
      </c>
      <c r="E149" s="34">
        <v>0.77</v>
      </c>
      <c r="F149" s="32">
        <v>0</v>
      </c>
      <c r="J149" s="30" t="s">
        <v>56</v>
      </c>
    </row>
    <row r="150" spans="1:10" ht="19.5" customHeight="1" x14ac:dyDescent="0.25">
      <c r="A150" s="32">
        <v>22</v>
      </c>
      <c r="B150" s="30" t="s">
        <v>73</v>
      </c>
      <c r="D150" s="34">
        <v>922.75</v>
      </c>
      <c r="E150" s="34">
        <v>0.82</v>
      </c>
      <c r="F150" s="32">
        <v>0</v>
      </c>
      <c r="J150" s="30" t="s">
        <v>56</v>
      </c>
    </row>
    <row r="151" spans="1:10" ht="19.5" customHeight="1" x14ac:dyDescent="0.25">
      <c r="A151" s="32">
        <v>22</v>
      </c>
      <c r="B151" s="30" t="s">
        <v>73</v>
      </c>
      <c r="D151" s="34">
        <v>972.71</v>
      </c>
      <c r="E151" s="34">
        <v>0.91</v>
      </c>
      <c r="F151" s="34">
        <v>3.2000000000000001E-2</v>
      </c>
      <c r="J151" s="30" t="s">
        <v>56</v>
      </c>
    </row>
    <row r="152" spans="1:10" ht="19.5" customHeight="1" x14ac:dyDescent="0.25">
      <c r="A152" s="32">
        <v>32</v>
      </c>
      <c r="B152" s="30" t="s">
        <v>75</v>
      </c>
      <c r="D152" s="32">
        <v>750</v>
      </c>
      <c r="E152" s="34">
        <v>0.80689829704480442</v>
      </c>
    </row>
    <row r="153" spans="1:10" ht="19.5" customHeight="1" x14ac:dyDescent="0.25">
      <c r="A153" s="32">
        <v>32</v>
      </c>
      <c r="B153" s="30" t="s">
        <v>75</v>
      </c>
      <c r="D153" s="32">
        <v>751</v>
      </c>
      <c r="E153" s="34">
        <v>0.79785449763962701</v>
      </c>
    </row>
    <row r="154" spans="1:10" ht="19.5" customHeight="1" x14ac:dyDescent="0.25">
      <c r="A154" s="32">
        <v>32</v>
      </c>
      <c r="B154" s="30" t="s">
        <v>75</v>
      </c>
      <c r="D154" s="32">
        <v>752</v>
      </c>
      <c r="E154" s="34">
        <v>0.82146879134314987</v>
      </c>
    </row>
    <row r="155" spans="1:10" ht="19.5" customHeight="1" x14ac:dyDescent="0.25">
      <c r="A155" s="32">
        <v>32</v>
      </c>
      <c r="B155" s="30" t="s">
        <v>75</v>
      </c>
      <c r="D155" s="32">
        <v>753</v>
      </c>
      <c r="E155" s="34">
        <v>0.81516393545023813</v>
      </c>
    </row>
    <row r="156" spans="1:10" ht="19.5" customHeight="1" x14ac:dyDescent="0.25">
      <c r="A156" s="32">
        <v>32</v>
      </c>
      <c r="B156" s="30" t="s">
        <v>75</v>
      </c>
      <c r="D156" s="32">
        <v>754</v>
      </c>
      <c r="E156" s="34">
        <v>0.82909137617702722</v>
      </c>
    </row>
    <row r="157" spans="1:10" ht="19.5" customHeight="1" x14ac:dyDescent="0.25">
      <c r="A157" s="32">
        <v>32</v>
      </c>
      <c r="B157" s="30" t="s">
        <v>75</v>
      </c>
      <c r="D157" s="32">
        <v>755</v>
      </c>
      <c r="E157" s="34">
        <v>0.81180186265814702</v>
      </c>
    </row>
    <row r="158" spans="1:10" ht="19.5" customHeight="1" x14ac:dyDescent="0.25">
      <c r="A158" s="32">
        <v>32</v>
      </c>
      <c r="B158" s="30" t="s">
        <v>75</v>
      </c>
      <c r="D158" s="32">
        <v>756</v>
      </c>
      <c r="E158" s="34">
        <v>0.81200801041905368</v>
      </c>
    </row>
    <row r="159" spans="1:10" ht="19.5" customHeight="1" x14ac:dyDescent="0.25">
      <c r="A159" s="32">
        <v>32</v>
      </c>
      <c r="B159" s="30" t="s">
        <v>75</v>
      </c>
      <c r="D159" s="32">
        <v>757</v>
      </c>
      <c r="E159" s="34">
        <v>0.8110740169078785</v>
      </c>
    </row>
    <row r="160" spans="1:10" ht="19.5" customHeight="1" x14ac:dyDescent="0.25">
      <c r="A160" s="32">
        <v>32</v>
      </c>
      <c r="B160" s="30" t="s">
        <v>75</v>
      </c>
      <c r="D160" s="32">
        <v>758</v>
      </c>
      <c r="E160" s="34">
        <v>0.79254204276900087</v>
      </c>
    </row>
    <row r="161" spans="1:5" ht="19.5" customHeight="1" x14ac:dyDescent="0.25">
      <c r="A161" s="32">
        <v>32</v>
      </c>
      <c r="B161" s="30" t="s">
        <v>75</v>
      </c>
      <c r="D161" s="32">
        <v>759</v>
      </c>
      <c r="E161" s="34">
        <v>0.80065854840375139</v>
      </c>
    </row>
    <row r="162" spans="1:5" ht="19.5" customHeight="1" x14ac:dyDescent="0.25">
      <c r="A162" s="32">
        <v>32</v>
      </c>
      <c r="B162" s="30" t="s">
        <v>75</v>
      </c>
      <c r="D162" s="32">
        <v>760</v>
      </c>
      <c r="E162" s="34">
        <v>0.79957450172006006</v>
      </c>
    </row>
    <row r="163" spans="1:5" ht="19.5" customHeight="1" x14ac:dyDescent="0.25">
      <c r="A163" s="32">
        <v>32</v>
      </c>
      <c r="B163" s="30" t="s">
        <v>75</v>
      </c>
      <c r="D163" s="32">
        <v>761</v>
      </c>
      <c r="E163" s="34">
        <v>0.81595944005610177</v>
      </c>
    </row>
    <row r="164" spans="1:5" ht="19.5" customHeight="1" x14ac:dyDescent="0.25">
      <c r="A164" s="32">
        <v>32</v>
      </c>
      <c r="B164" s="30" t="s">
        <v>75</v>
      </c>
      <c r="D164" s="32">
        <v>762</v>
      </c>
      <c r="E164" s="34">
        <v>0.81636065691544502</v>
      </c>
    </row>
    <row r="165" spans="1:5" ht="19.5" customHeight="1" x14ac:dyDescent="0.25">
      <c r="A165" s="32">
        <v>32</v>
      </c>
      <c r="B165" s="30" t="s">
        <v>75</v>
      </c>
      <c r="D165" s="32">
        <v>763</v>
      </c>
      <c r="E165" s="34">
        <v>0.80843752064086116</v>
      </c>
    </row>
    <row r="166" spans="1:5" ht="19.5" customHeight="1" x14ac:dyDescent="0.25">
      <c r="A166" s="32">
        <v>32</v>
      </c>
      <c r="B166" s="30" t="s">
        <v>75</v>
      </c>
      <c r="D166" s="32">
        <v>764</v>
      </c>
      <c r="E166" s="34">
        <v>0.80922899164900131</v>
      </c>
    </row>
    <row r="167" spans="1:5" ht="19.5" customHeight="1" x14ac:dyDescent="0.25">
      <c r="A167" s="32">
        <v>32</v>
      </c>
      <c r="B167" s="30" t="s">
        <v>75</v>
      </c>
      <c r="D167" s="32">
        <v>765</v>
      </c>
      <c r="E167" s="34">
        <v>0.82001489189518029</v>
      </c>
    </row>
    <row r="168" spans="1:5" ht="19.5" customHeight="1" x14ac:dyDescent="0.25">
      <c r="A168" s="32">
        <v>32</v>
      </c>
      <c r="B168" s="30" t="s">
        <v>75</v>
      </c>
      <c r="D168" s="32">
        <v>766</v>
      </c>
      <c r="E168" s="34">
        <v>0.80046746023203208</v>
      </c>
    </row>
    <row r="169" spans="1:5" ht="19.5" customHeight="1" x14ac:dyDescent="0.25">
      <c r="A169" s="32">
        <v>32</v>
      </c>
      <c r="B169" s="30" t="s">
        <v>75</v>
      </c>
      <c r="D169" s="32">
        <v>767</v>
      </c>
      <c r="E169" s="34">
        <v>0.81121479060389112</v>
      </c>
    </row>
    <row r="170" spans="1:5" ht="19.5" customHeight="1" x14ac:dyDescent="0.25">
      <c r="A170" s="32">
        <v>32</v>
      </c>
      <c r="B170" s="30" t="s">
        <v>75</v>
      </c>
      <c r="D170" s="32">
        <v>768</v>
      </c>
      <c r="E170" s="34">
        <v>0.81181529533775831</v>
      </c>
    </row>
    <row r="171" spans="1:5" ht="19.5" customHeight="1" x14ac:dyDescent="0.25">
      <c r="A171" s="32">
        <v>32</v>
      </c>
      <c r="B171" s="30" t="s">
        <v>75</v>
      </c>
      <c r="D171" s="32">
        <v>769</v>
      </c>
      <c r="E171" s="34">
        <v>0.8115306699209589</v>
      </c>
    </row>
    <row r="172" spans="1:5" ht="19.5" customHeight="1" x14ac:dyDescent="0.25">
      <c r="A172" s="32">
        <v>32</v>
      </c>
      <c r="B172" s="30" t="s">
        <v>75</v>
      </c>
      <c r="D172" s="32">
        <v>770</v>
      </c>
      <c r="E172" s="34">
        <v>0.80840046215608019</v>
      </c>
    </row>
    <row r="173" spans="1:5" ht="19.5" customHeight="1" x14ac:dyDescent="0.25">
      <c r="A173" s="32">
        <v>32</v>
      </c>
      <c r="B173" s="30" t="s">
        <v>75</v>
      </c>
      <c r="D173" s="32">
        <v>771</v>
      </c>
      <c r="E173" s="34">
        <v>0.81011640014863318</v>
      </c>
    </row>
    <row r="174" spans="1:5" ht="19.5" customHeight="1" x14ac:dyDescent="0.25">
      <c r="A174" s="32">
        <v>32</v>
      </c>
      <c r="B174" s="30" t="s">
        <v>75</v>
      </c>
      <c r="D174" s="32">
        <v>772</v>
      </c>
      <c r="E174" s="34">
        <v>0.82783631909149924</v>
      </c>
    </row>
    <row r="175" spans="1:5" ht="19.5" customHeight="1" x14ac:dyDescent="0.25">
      <c r="A175" s="32">
        <v>32</v>
      </c>
      <c r="B175" s="30" t="s">
        <v>75</v>
      </c>
      <c r="D175" s="32">
        <v>773</v>
      </c>
      <c r="E175" s="34">
        <v>0.82075225768061311</v>
      </c>
    </row>
    <row r="176" spans="1:5" ht="19.5" customHeight="1" x14ac:dyDescent="0.25">
      <c r="A176" s="32">
        <v>32</v>
      </c>
      <c r="B176" s="30" t="s">
        <v>75</v>
      </c>
      <c r="D176" s="32">
        <v>774</v>
      </c>
      <c r="E176" s="34">
        <v>0.80585659917757113</v>
      </c>
    </row>
    <row r="177" spans="1:5" ht="19.5" customHeight="1" x14ac:dyDescent="0.25">
      <c r="A177" s="32">
        <v>32</v>
      </c>
      <c r="B177" s="30" t="s">
        <v>75</v>
      </c>
      <c r="D177" s="32">
        <v>775</v>
      </c>
      <c r="E177" s="34">
        <v>0.81141921839822906</v>
      </c>
    </row>
    <row r="178" spans="1:5" ht="19.5" customHeight="1" x14ac:dyDescent="0.25">
      <c r="A178" s="32">
        <v>32</v>
      </c>
      <c r="B178" s="30" t="s">
        <v>75</v>
      </c>
      <c r="D178" s="32">
        <v>776</v>
      </c>
      <c r="E178" s="34">
        <v>0.81188920031224443</v>
      </c>
    </row>
    <row r="179" spans="1:5" ht="19.5" customHeight="1" x14ac:dyDescent="0.25">
      <c r="A179" s="32">
        <v>32</v>
      </c>
      <c r="B179" s="30" t="s">
        <v>75</v>
      </c>
      <c r="D179" s="32">
        <v>777</v>
      </c>
      <c r="E179" s="34">
        <v>0.80715519619359766</v>
      </c>
    </row>
    <row r="180" spans="1:5" ht="19.5" customHeight="1" x14ac:dyDescent="0.25">
      <c r="A180" s="32">
        <v>32</v>
      </c>
      <c r="B180" s="30" t="s">
        <v>75</v>
      </c>
      <c r="D180" s="32">
        <v>778</v>
      </c>
      <c r="E180" s="34">
        <v>0.80675551987743699</v>
      </c>
    </row>
    <row r="181" spans="1:5" ht="19.5" customHeight="1" x14ac:dyDescent="0.25">
      <c r="A181" s="32">
        <v>32</v>
      </c>
      <c r="B181" s="30" t="s">
        <v>75</v>
      </c>
      <c r="D181" s="32">
        <v>779</v>
      </c>
      <c r="E181" s="34">
        <v>0.80833793550035449</v>
      </c>
    </row>
    <row r="182" spans="1:5" ht="19.5" customHeight="1" x14ac:dyDescent="0.25">
      <c r="A182" s="32">
        <v>32</v>
      </c>
      <c r="B182" s="30" t="s">
        <v>75</v>
      </c>
      <c r="D182" s="32">
        <v>780</v>
      </c>
      <c r="E182" s="34">
        <v>0.80517947188695327</v>
      </c>
    </row>
    <row r="183" spans="1:5" ht="19.5" customHeight="1" x14ac:dyDescent="0.25">
      <c r="A183" s="32">
        <v>32</v>
      </c>
      <c r="B183" s="30" t="s">
        <v>75</v>
      </c>
      <c r="D183" s="32">
        <v>781</v>
      </c>
      <c r="E183" s="34">
        <v>0.80625069303199171</v>
      </c>
    </row>
    <row r="184" spans="1:5" ht="19.5" customHeight="1" x14ac:dyDescent="0.25">
      <c r="A184" s="32">
        <v>32</v>
      </c>
      <c r="B184" s="30" t="s">
        <v>75</v>
      </c>
      <c r="D184" s="32">
        <v>782</v>
      </c>
      <c r="E184" s="34">
        <v>0.80633671951050878</v>
      </c>
    </row>
    <row r="185" spans="1:5" ht="19.5" customHeight="1" x14ac:dyDescent="0.25">
      <c r="A185" s="32">
        <v>32</v>
      </c>
      <c r="B185" s="30" t="s">
        <v>75</v>
      </c>
      <c r="D185" s="32">
        <v>783</v>
      </c>
      <c r="E185" s="34">
        <v>0.81301220017002196</v>
      </c>
    </row>
    <row r="186" spans="1:5" ht="19.5" customHeight="1" x14ac:dyDescent="0.25">
      <c r="A186" s="32">
        <v>32</v>
      </c>
      <c r="B186" s="30" t="s">
        <v>75</v>
      </c>
      <c r="D186" s="32">
        <v>784</v>
      </c>
      <c r="E186" s="34">
        <v>0.80219491232114049</v>
      </c>
    </row>
    <row r="187" spans="1:5" ht="19.5" customHeight="1" x14ac:dyDescent="0.25">
      <c r="A187" s="32">
        <v>32</v>
      </c>
      <c r="B187" s="30" t="s">
        <v>75</v>
      </c>
      <c r="D187" s="32">
        <v>785</v>
      </c>
      <c r="E187" s="34">
        <v>0.80014080502168883</v>
      </c>
    </row>
    <row r="188" spans="1:5" ht="19.5" customHeight="1" x14ac:dyDescent="0.25">
      <c r="A188" s="32">
        <v>32</v>
      </c>
      <c r="B188" s="30" t="s">
        <v>75</v>
      </c>
      <c r="D188" s="32">
        <v>786</v>
      </c>
      <c r="E188" s="34">
        <v>0.81463843026107696</v>
      </c>
    </row>
    <row r="189" spans="1:5" ht="19.5" customHeight="1" x14ac:dyDescent="0.25">
      <c r="A189" s="32">
        <v>32</v>
      </c>
      <c r="B189" s="30" t="s">
        <v>75</v>
      </c>
      <c r="D189" s="32">
        <v>787</v>
      </c>
      <c r="E189" s="34">
        <v>0.81873690827292755</v>
      </c>
    </row>
    <row r="190" spans="1:5" ht="19.5" customHeight="1" x14ac:dyDescent="0.25">
      <c r="A190" s="32">
        <v>32</v>
      </c>
      <c r="B190" s="30" t="s">
        <v>75</v>
      </c>
      <c r="D190" s="32">
        <v>788</v>
      </c>
      <c r="E190" s="34">
        <v>0.81605423347424166</v>
      </c>
    </row>
    <row r="191" spans="1:5" ht="19.5" customHeight="1" x14ac:dyDescent="0.25">
      <c r="A191" s="32">
        <v>32</v>
      </c>
      <c r="B191" s="30" t="s">
        <v>75</v>
      </c>
      <c r="D191" s="32">
        <v>789</v>
      </c>
      <c r="E191" s="34">
        <v>0.81644087101870932</v>
      </c>
    </row>
    <row r="192" spans="1:5" ht="19.5" customHeight="1" x14ac:dyDescent="0.25">
      <c r="A192" s="32">
        <v>32</v>
      </c>
      <c r="B192" s="30" t="s">
        <v>75</v>
      </c>
      <c r="D192" s="32">
        <v>790</v>
      </c>
      <c r="E192" s="34">
        <v>0.82161632584359756</v>
      </c>
    </row>
    <row r="193" spans="1:5" ht="19.5" customHeight="1" x14ac:dyDescent="0.25">
      <c r="A193" s="32">
        <v>32</v>
      </c>
      <c r="B193" s="30" t="s">
        <v>75</v>
      </c>
      <c r="D193" s="32">
        <v>791</v>
      </c>
      <c r="E193" s="34">
        <v>0.80802572612407597</v>
      </c>
    </row>
    <row r="194" spans="1:5" ht="19.5" customHeight="1" x14ac:dyDescent="0.25">
      <c r="A194" s="32">
        <v>32</v>
      </c>
      <c r="B194" s="30" t="s">
        <v>75</v>
      </c>
      <c r="D194" s="32">
        <v>792</v>
      </c>
      <c r="E194" s="34">
        <v>0.80931166657223841</v>
      </c>
    </row>
    <row r="195" spans="1:5" ht="19.5" customHeight="1" x14ac:dyDescent="0.25">
      <c r="A195" s="32">
        <v>32</v>
      </c>
      <c r="B195" s="30" t="s">
        <v>75</v>
      </c>
      <c r="D195" s="32">
        <v>793</v>
      </c>
      <c r="E195" s="34">
        <v>0.80737784021404335</v>
      </c>
    </row>
    <row r="196" spans="1:5" ht="19.5" customHeight="1" x14ac:dyDescent="0.25">
      <c r="A196" s="32">
        <v>32</v>
      </c>
      <c r="B196" s="30" t="s">
        <v>75</v>
      </c>
      <c r="D196" s="32">
        <v>794</v>
      </c>
      <c r="E196" s="34">
        <v>0.8104313834939757</v>
      </c>
    </row>
    <row r="197" spans="1:5" ht="19.5" customHeight="1" x14ac:dyDescent="0.25">
      <c r="A197" s="32">
        <v>32</v>
      </c>
      <c r="B197" s="30" t="s">
        <v>75</v>
      </c>
      <c r="D197" s="32">
        <v>795</v>
      </c>
      <c r="E197" s="34">
        <v>0.81171185652622369</v>
      </c>
    </row>
    <row r="198" spans="1:5" ht="19.5" customHeight="1" x14ac:dyDescent="0.25">
      <c r="A198" s="32">
        <v>32</v>
      </c>
      <c r="B198" s="30" t="s">
        <v>75</v>
      </c>
      <c r="D198" s="32">
        <v>796</v>
      </c>
      <c r="E198" s="34">
        <v>0.80143302668911842</v>
      </c>
    </row>
    <row r="199" spans="1:5" ht="19.5" customHeight="1" x14ac:dyDescent="0.25">
      <c r="A199" s="32">
        <v>32</v>
      </c>
      <c r="B199" s="30" t="s">
        <v>75</v>
      </c>
      <c r="D199" s="32">
        <v>797</v>
      </c>
      <c r="E199" s="34">
        <v>0.80278047930354146</v>
      </c>
    </row>
    <row r="200" spans="1:5" ht="19.5" customHeight="1" x14ac:dyDescent="0.25">
      <c r="A200" s="32">
        <v>32</v>
      </c>
      <c r="B200" s="30" t="s">
        <v>75</v>
      </c>
      <c r="D200" s="32">
        <v>798</v>
      </c>
      <c r="E200" s="34">
        <v>0.80363481075382182</v>
      </c>
    </row>
    <row r="201" spans="1:5" ht="19.5" customHeight="1" x14ac:dyDescent="0.25">
      <c r="A201" s="32">
        <v>32</v>
      </c>
      <c r="B201" s="30" t="s">
        <v>75</v>
      </c>
      <c r="D201" s="32">
        <v>799</v>
      </c>
      <c r="E201" s="34">
        <v>0.80968086366119685</v>
      </c>
    </row>
    <row r="202" spans="1:5" ht="19.5" customHeight="1" x14ac:dyDescent="0.25">
      <c r="A202" s="32">
        <v>32</v>
      </c>
      <c r="B202" s="30" t="s">
        <v>75</v>
      </c>
      <c r="D202" s="32">
        <v>800</v>
      </c>
      <c r="E202" s="34">
        <v>0.82366245443712482</v>
      </c>
    </row>
    <row r="203" spans="1:5" ht="19.5" customHeight="1" x14ac:dyDescent="0.25">
      <c r="A203" s="32">
        <v>32</v>
      </c>
      <c r="B203" s="30" t="s">
        <v>75</v>
      </c>
      <c r="D203" s="32">
        <v>801</v>
      </c>
      <c r="E203" s="34">
        <v>0.81529105096986454</v>
      </c>
    </row>
    <row r="204" spans="1:5" ht="19.5" customHeight="1" x14ac:dyDescent="0.25">
      <c r="A204" s="32">
        <v>32</v>
      </c>
      <c r="B204" s="30" t="s">
        <v>75</v>
      </c>
      <c r="D204" s="32">
        <v>802</v>
      </c>
      <c r="E204" s="34">
        <v>0.81163191938253798</v>
      </c>
    </row>
    <row r="205" spans="1:5" ht="19.5" customHeight="1" x14ac:dyDescent="0.25">
      <c r="A205" s="32">
        <v>32</v>
      </c>
      <c r="B205" s="30" t="s">
        <v>75</v>
      </c>
      <c r="D205" s="32">
        <v>803</v>
      </c>
      <c r="E205" s="34">
        <v>0.81451948639847338</v>
      </c>
    </row>
    <row r="206" spans="1:5" ht="19.5" customHeight="1" x14ac:dyDescent="0.25">
      <c r="A206" s="32">
        <v>32</v>
      </c>
      <c r="B206" s="30" t="s">
        <v>75</v>
      </c>
      <c r="D206" s="32">
        <v>804</v>
      </c>
      <c r="E206" s="34">
        <v>0.81475453294642775</v>
      </c>
    </row>
    <row r="207" spans="1:5" ht="19.5" customHeight="1" x14ac:dyDescent="0.25">
      <c r="A207" s="32">
        <v>32</v>
      </c>
      <c r="B207" s="30" t="s">
        <v>75</v>
      </c>
      <c r="D207" s="32">
        <v>805</v>
      </c>
      <c r="E207" s="34">
        <v>0.80893869838901955</v>
      </c>
    </row>
    <row r="208" spans="1:5" ht="19.5" customHeight="1" x14ac:dyDescent="0.25">
      <c r="A208" s="32">
        <v>32</v>
      </c>
      <c r="B208" s="30" t="s">
        <v>75</v>
      </c>
      <c r="D208" s="32">
        <v>806</v>
      </c>
      <c r="E208" s="34">
        <v>0.80265932150010189</v>
      </c>
    </row>
    <row r="209" spans="1:5" ht="19.5" customHeight="1" x14ac:dyDescent="0.25">
      <c r="A209" s="32">
        <v>32</v>
      </c>
      <c r="B209" s="30" t="s">
        <v>75</v>
      </c>
      <c r="D209" s="32">
        <v>807</v>
      </c>
      <c r="E209" s="34">
        <v>0.81418213394489392</v>
      </c>
    </row>
    <row r="210" spans="1:5" ht="19.5" customHeight="1" x14ac:dyDescent="0.25">
      <c r="A210" s="32">
        <v>32</v>
      </c>
      <c r="B210" s="30" t="s">
        <v>75</v>
      </c>
      <c r="D210" s="32">
        <v>808</v>
      </c>
      <c r="E210" s="34">
        <v>0.81779324350919747</v>
      </c>
    </row>
    <row r="211" spans="1:5" ht="19.5" customHeight="1" x14ac:dyDescent="0.25">
      <c r="A211" s="32">
        <v>32</v>
      </c>
      <c r="B211" s="30" t="s">
        <v>75</v>
      </c>
      <c r="D211" s="32">
        <v>809</v>
      </c>
      <c r="E211" s="34">
        <v>0.80976238552511504</v>
      </c>
    </row>
    <row r="212" spans="1:5" ht="19.5" customHeight="1" x14ac:dyDescent="0.25">
      <c r="A212" s="32">
        <v>32</v>
      </c>
      <c r="B212" s="30" t="s">
        <v>75</v>
      </c>
      <c r="D212" s="32">
        <v>810</v>
      </c>
      <c r="E212" s="34">
        <v>0.80653343793479249</v>
      </c>
    </row>
    <row r="213" spans="1:5" ht="19.5" customHeight="1" x14ac:dyDescent="0.25">
      <c r="A213" s="32">
        <v>32</v>
      </c>
      <c r="B213" s="30" t="s">
        <v>75</v>
      </c>
      <c r="D213" s="32">
        <v>811</v>
      </c>
      <c r="E213" s="34">
        <v>0.81316126471277117</v>
      </c>
    </row>
    <row r="214" spans="1:5" ht="19.5" customHeight="1" x14ac:dyDescent="0.25">
      <c r="A214" s="32">
        <v>32</v>
      </c>
      <c r="B214" s="30" t="s">
        <v>75</v>
      </c>
      <c r="D214" s="32">
        <v>812</v>
      </c>
      <c r="E214" s="34">
        <v>0.81141714273866972</v>
      </c>
    </row>
    <row r="215" spans="1:5" ht="19.5" customHeight="1" x14ac:dyDescent="0.25">
      <c r="A215" s="32">
        <v>32</v>
      </c>
      <c r="B215" s="30" t="s">
        <v>75</v>
      </c>
      <c r="D215" s="32">
        <v>813</v>
      </c>
      <c r="E215" s="34">
        <v>0.81989117182092108</v>
      </c>
    </row>
    <row r="216" spans="1:5" ht="19.5" customHeight="1" x14ac:dyDescent="0.25">
      <c r="A216" s="32">
        <v>32</v>
      </c>
      <c r="B216" s="30" t="s">
        <v>75</v>
      </c>
      <c r="D216" s="32">
        <v>814</v>
      </c>
      <c r="E216" s="34">
        <v>0.82146304485916177</v>
      </c>
    </row>
    <row r="217" spans="1:5" ht="19.5" customHeight="1" x14ac:dyDescent="0.25">
      <c r="A217" s="32">
        <v>32</v>
      </c>
      <c r="B217" s="30" t="s">
        <v>75</v>
      </c>
      <c r="D217" s="32">
        <v>815</v>
      </c>
      <c r="E217" s="34">
        <v>0.81558363440627091</v>
      </c>
    </row>
    <row r="218" spans="1:5" ht="19.5" customHeight="1" x14ac:dyDescent="0.25">
      <c r="A218" s="32">
        <v>32</v>
      </c>
      <c r="B218" s="30" t="s">
        <v>75</v>
      </c>
      <c r="D218" s="32">
        <v>816</v>
      </c>
      <c r="E218" s="34">
        <v>0.80592174717769349</v>
      </c>
    </row>
    <row r="219" spans="1:5" ht="19.5" customHeight="1" x14ac:dyDescent="0.25">
      <c r="A219" s="32">
        <v>32</v>
      </c>
      <c r="B219" s="30" t="s">
        <v>75</v>
      </c>
      <c r="D219" s="32">
        <v>817</v>
      </c>
      <c r="E219" s="34">
        <v>0.81351240128308178</v>
      </c>
    </row>
    <row r="220" spans="1:5" ht="19.5" customHeight="1" x14ac:dyDescent="0.25">
      <c r="A220" s="32">
        <v>32</v>
      </c>
      <c r="B220" s="30" t="s">
        <v>75</v>
      </c>
      <c r="D220" s="32">
        <v>818</v>
      </c>
      <c r="E220" s="34">
        <v>0.8120207089386402</v>
      </c>
    </row>
    <row r="221" spans="1:5" ht="19.5" customHeight="1" x14ac:dyDescent="0.25">
      <c r="A221" s="32">
        <v>32</v>
      </c>
      <c r="B221" s="30" t="s">
        <v>75</v>
      </c>
      <c r="D221" s="32">
        <v>819</v>
      </c>
      <c r="E221" s="34">
        <v>0.81798451054827304</v>
      </c>
    </row>
    <row r="222" spans="1:5" ht="19.5" customHeight="1" x14ac:dyDescent="0.25">
      <c r="A222" s="32">
        <v>32</v>
      </c>
      <c r="B222" s="30" t="s">
        <v>75</v>
      </c>
      <c r="D222" s="32">
        <v>820</v>
      </c>
      <c r="E222" s="34">
        <v>0.81273249780403078</v>
      </c>
    </row>
    <row r="223" spans="1:5" ht="19.5" customHeight="1" x14ac:dyDescent="0.25">
      <c r="A223" s="32">
        <v>32</v>
      </c>
      <c r="B223" s="30" t="s">
        <v>75</v>
      </c>
      <c r="D223" s="32">
        <v>821</v>
      </c>
      <c r="E223" s="34">
        <v>0.81128689997282333</v>
      </c>
    </row>
    <row r="224" spans="1:5" ht="19.5" customHeight="1" x14ac:dyDescent="0.25">
      <c r="A224" s="32">
        <v>32</v>
      </c>
      <c r="B224" s="30" t="s">
        <v>75</v>
      </c>
      <c r="D224" s="32">
        <v>750</v>
      </c>
      <c r="E224" s="34">
        <v>0.79778503519027422</v>
      </c>
    </row>
    <row r="225" spans="1:5" ht="19.5" customHeight="1" x14ac:dyDescent="0.25">
      <c r="A225" s="32">
        <v>32</v>
      </c>
      <c r="B225" s="30" t="s">
        <v>75</v>
      </c>
      <c r="D225" s="32">
        <v>752</v>
      </c>
      <c r="E225" s="34">
        <v>0.79075287073220324</v>
      </c>
    </row>
    <row r="226" spans="1:5" ht="19.5" customHeight="1" x14ac:dyDescent="0.25">
      <c r="A226" s="32">
        <v>32</v>
      </c>
      <c r="B226" s="30" t="s">
        <v>75</v>
      </c>
      <c r="D226" s="32">
        <v>754</v>
      </c>
      <c r="E226" s="34">
        <v>0.80433797671657492</v>
      </c>
    </row>
    <row r="227" spans="1:5" ht="19.5" customHeight="1" x14ac:dyDescent="0.25">
      <c r="A227" s="32">
        <v>32</v>
      </c>
      <c r="B227" s="30" t="s">
        <v>75</v>
      </c>
      <c r="D227" s="32">
        <v>756</v>
      </c>
      <c r="E227" s="34">
        <v>0.80108886859668171</v>
      </c>
    </row>
    <row r="228" spans="1:5" ht="19.5" customHeight="1" x14ac:dyDescent="0.25">
      <c r="A228" s="32">
        <v>32</v>
      </c>
      <c r="B228" s="30" t="s">
        <v>75</v>
      </c>
      <c r="D228" s="32">
        <v>758</v>
      </c>
      <c r="E228" s="34">
        <v>0.80783298497223144</v>
      </c>
    </row>
    <row r="229" spans="1:5" ht="19.5" customHeight="1" x14ac:dyDescent="0.25">
      <c r="A229" s="32">
        <v>32</v>
      </c>
      <c r="B229" s="30" t="s">
        <v>75</v>
      </c>
      <c r="D229" s="32">
        <v>760</v>
      </c>
      <c r="E229" s="34">
        <v>0.81435983613295482</v>
      </c>
    </row>
    <row r="230" spans="1:5" ht="19.5" customHeight="1" x14ac:dyDescent="0.25">
      <c r="A230" s="32">
        <v>32</v>
      </c>
      <c r="B230" s="30" t="s">
        <v>75</v>
      </c>
      <c r="D230" s="32">
        <v>762</v>
      </c>
      <c r="E230" s="34">
        <v>0.79887559976088829</v>
      </c>
    </row>
    <row r="231" spans="1:5" ht="19.5" customHeight="1" x14ac:dyDescent="0.25">
      <c r="A231" s="32">
        <v>32</v>
      </c>
      <c r="B231" s="30" t="s">
        <v>75</v>
      </c>
      <c r="D231" s="32">
        <v>765</v>
      </c>
      <c r="E231" s="34">
        <v>0.80847120388603189</v>
      </c>
    </row>
    <row r="232" spans="1:5" ht="19.5" customHeight="1" x14ac:dyDescent="0.25">
      <c r="A232" s="32">
        <v>32</v>
      </c>
      <c r="B232" s="30" t="s">
        <v>75</v>
      </c>
      <c r="D232" s="32">
        <v>767</v>
      </c>
      <c r="E232" s="34">
        <v>0.79754547476638649</v>
      </c>
    </row>
    <row r="233" spans="1:5" ht="19.5" customHeight="1" x14ac:dyDescent="0.25">
      <c r="A233" s="32">
        <v>32</v>
      </c>
      <c r="B233" s="30" t="s">
        <v>75</v>
      </c>
      <c r="D233" s="32">
        <v>769</v>
      </c>
      <c r="E233" s="34">
        <v>0.8071559108031735</v>
      </c>
    </row>
    <row r="234" spans="1:5" ht="19.5" customHeight="1" x14ac:dyDescent="0.25">
      <c r="A234" s="32">
        <v>32</v>
      </c>
      <c r="B234" s="30" t="s">
        <v>75</v>
      </c>
      <c r="D234" s="32">
        <v>771</v>
      </c>
      <c r="E234" s="34">
        <v>0.80279798610059805</v>
      </c>
    </row>
    <row r="235" spans="1:5" ht="19.5" customHeight="1" x14ac:dyDescent="0.25">
      <c r="A235" s="32">
        <v>32</v>
      </c>
      <c r="B235" s="30" t="s">
        <v>75</v>
      </c>
      <c r="D235" s="32">
        <v>773</v>
      </c>
      <c r="E235" s="34">
        <v>0.80111010743310584</v>
      </c>
    </row>
    <row r="236" spans="1:5" ht="19.5" customHeight="1" x14ac:dyDescent="0.25">
      <c r="A236" s="32">
        <v>32</v>
      </c>
      <c r="B236" s="30" t="s">
        <v>75</v>
      </c>
      <c r="D236" s="32">
        <v>775</v>
      </c>
      <c r="E236" s="34">
        <v>0.80874718679770197</v>
      </c>
    </row>
    <row r="237" spans="1:5" ht="19.5" customHeight="1" x14ac:dyDescent="0.25">
      <c r="A237" s="32">
        <v>32</v>
      </c>
      <c r="B237" s="30" t="s">
        <v>75</v>
      </c>
      <c r="D237" s="32">
        <v>777</v>
      </c>
      <c r="E237" s="34">
        <v>0.81280963778780202</v>
      </c>
    </row>
    <row r="238" spans="1:5" ht="19.5" customHeight="1" x14ac:dyDescent="0.25">
      <c r="A238" s="32">
        <v>32</v>
      </c>
      <c r="B238" s="30" t="s">
        <v>75</v>
      </c>
      <c r="D238" s="32">
        <v>779</v>
      </c>
      <c r="E238" s="34">
        <v>0.79855327871175508</v>
      </c>
    </row>
    <row r="239" spans="1:5" ht="19.5" customHeight="1" x14ac:dyDescent="0.25">
      <c r="A239" s="32">
        <v>32</v>
      </c>
      <c r="B239" s="30" t="s">
        <v>75</v>
      </c>
      <c r="D239" s="32">
        <v>781</v>
      </c>
      <c r="E239" s="34">
        <v>0.80033740425618305</v>
      </c>
    </row>
    <row r="240" spans="1:5" ht="19.5" customHeight="1" x14ac:dyDescent="0.25">
      <c r="A240" s="32">
        <v>32</v>
      </c>
      <c r="B240" s="30" t="s">
        <v>75</v>
      </c>
      <c r="D240" s="32">
        <v>783</v>
      </c>
      <c r="E240" s="34">
        <v>0.81264230769235657</v>
      </c>
    </row>
    <row r="241" spans="1:5" ht="19.5" customHeight="1" x14ac:dyDescent="0.25">
      <c r="A241" s="32">
        <v>32</v>
      </c>
      <c r="B241" s="30" t="s">
        <v>75</v>
      </c>
      <c r="D241" s="32">
        <v>785</v>
      </c>
      <c r="E241" s="34">
        <v>0.81300373228063949</v>
      </c>
    </row>
    <row r="242" spans="1:5" ht="19.5" customHeight="1" x14ac:dyDescent="0.25">
      <c r="A242" s="32">
        <v>32</v>
      </c>
      <c r="B242" s="30" t="s">
        <v>75</v>
      </c>
      <c r="D242" s="32">
        <v>787</v>
      </c>
      <c r="E242" s="34">
        <v>0.81760295327737353</v>
      </c>
    </row>
    <row r="243" spans="1:5" ht="19.5" customHeight="1" x14ac:dyDescent="0.25">
      <c r="A243" s="32">
        <v>32</v>
      </c>
      <c r="B243" s="30" t="s">
        <v>75</v>
      </c>
      <c r="D243" s="32">
        <v>789</v>
      </c>
      <c r="E243" s="34">
        <v>0.81377619219397213</v>
      </c>
    </row>
    <row r="244" spans="1:5" ht="19.5" customHeight="1" x14ac:dyDescent="0.25">
      <c r="A244" s="32">
        <v>32</v>
      </c>
      <c r="B244" s="30" t="s">
        <v>75</v>
      </c>
      <c r="D244" s="32">
        <v>791</v>
      </c>
      <c r="E244" s="34">
        <v>0.80952509403887918</v>
      </c>
    </row>
    <row r="245" spans="1:5" ht="19.5" customHeight="1" x14ac:dyDescent="0.25">
      <c r="A245" s="32">
        <v>32</v>
      </c>
      <c r="B245" s="30" t="s">
        <v>75</v>
      </c>
      <c r="D245" s="32">
        <v>793</v>
      </c>
      <c r="E245" s="34">
        <v>0.80985786786700387</v>
      </c>
    </row>
    <row r="246" spans="1:5" ht="19.5" customHeight="1" x14ac:dyDescent="0.25">
      <c r="A246" s="32">
        <v>32</v>
      </c>
      <c r="B246" s="30" t="s">
        <v>75</v>
      </c>
      <c r="D246" s="32">
        <v>795</v>
      </c>
      <c r="E246" s="34">
        <v>0.81897859398683903</v>
      </c>
    </row>
    <row r="247" spans="1:5" ht="19.5" customHeight="1" x14ac:dyDescent="0.25">
      <c r="A247" s="32">
        <v>32</v>
      </c>
      <c r="B247" s="30" t="s">
        <v>75</v>
      </c>
      <c r="D247" s="32">
        <v>797</v>
      </c>
      <c r="E247" s="34">
        <v>0.80982987676868345</v>
      </c>
    </row>
    <row r="248" spans="1:5" ht="19.5" customHeight="1" x14ac:dyDescent="0.25">
      <c r="A248" s="32">
        <v>32</v>
      </c>
      <c r="B248" s="30" t="s">
        <v>75</v>
      </c>
      <c r="D248" s="32">
        <v>799</v>
      </c>
      <c r="E248" s="34">
        <v>0.80860539744156035</v>
      </c>
    </row>
    <row r="249" spans="1:5" ht="19.5" customHeight="1" x14ac:dyDescent="0.25">
      <c r="A249" s="32">
        <v>32</v>
      </c>
      <c r="B249" s="30" t="s">
        <v>75</v>
      </c>
      <c r="D249" s="32">
        <v>801</v>
      </c>
      <c r="E249" s="34">
        <v>0.82379375285516632</v>
      </c>
    </row>
    <row r="250" spans="1:5" ht="19.5" customHeight="1" x14ac:dyDescent="0.25">
      <c r="A250" s="32">
        <v>32</v>
      </c>
      <c r="B250" s="30" t="s">
        <v>75</v>
      </c>
      <c r="D250" s="32">
        <v>803</v>
      </c>
      <c r="E250" s="34">
        <v>0.81726613081378685</v>
      </c>
    </row>
    <row r="251" spans="1:5" ht="19.5" customHeight="1" x14ac:dyDescent="0.25">
      <c r="A251" s="32">
        <v>32</v>
      </c>
      <c r="B251" s="30" t="s">
        <v>75</v>
      </c>
      <c r="D251" s="32">
        <v>805</v>
      </c>
      <c r="E251" s="34">
        <v>0.81900466856314558</v>
      </c>
    </row>
    <row r="252" spans="1:5" ht="19.5" customHeight="1" x14ac:dyDescent="0.25">
      <c r="A252" s="32">
        <v>32</v>
      </c>
      <c r="B252" s="30" t="s">
        <v>75</v>
      </c>
      <c r="D252" s="32">
        <v>807</v>
      </c>
      <c r="E252" s="34">
        <v>0.81547812756712812</v>
      </c>
    </row>
    <row r="253" spans="1:5" ht="19.5" customHeight="1" x14ac:dyDescent="0.25">
      <c r="A253" s="32">
        <v>32</v>
      </c>
      <c r="B253" s="30" t="s">
        <v>75</v>
      </c>
      <c r="D253" s="32">
        <v>809</v>
      </c>
      <c r="E253" s="34">
        <v>0.81835472907404705</v>
      </c>
    </row>
    <row r="254" spans="1:5" ht="19.5" customHeight="1" x14ac:dyDescent="0.25">
      <c r="A254" s="32">
        <v>32</v>
      </c>
      <c r="B254" s="30" t="s">
        <v>75</v>
      </c>
      <c r="D254" s="32">
        <v>811</v>
      </c>
      <c r="E254" s="34">
        <v>0.81453361691184767</v>
      </c>
    </row>
    <row r="255" spans="1:5" ht="19.5" customHeight="1" x14ac:dyDescent="0.25">
      <c r="A255" s="32">
        <v>32</v>
      </c>
      <c r="B255" s="30" t="s">
        <v>75</v>
      </c>
      <c r="D255" s="32">
        <v>813</v>
      </c>
      <c r="E255" s="34">
        <v>0.8162622761372923</v>
      </c>
    </row>
    <row r="256" spans="1:5" ht="19.5" customHeight="1" x14ac:dyDescent="0.25">
      <c r="A256" s="32">
        <v>32</v>
      </c>
      <c r="B256" s="30" t="s">
        <v>75</v>
      </c>
      <c r="D256" s="32">
        <v>816</v>
      </c>
      <c r="E256" s="34">
        <v>0.81874013408753432</v>
      </c>
    </row>
    <row r="257" spans="1:13" ht="19.5" customHeight="1" x14ac:dyDescent="0.25">
      <c r="A257" s="32">
        <v>23</v>
      </c>
      <c r="B257" s="30" t="s">
        <v>76</v>
      </c>
      <c r="D257" s="34">
        <v>748.7</v>
      </c>
      <c r="E257" s="34">
        <v>0.81</v>
      </c>
      <c r="F257" s="34">
        <v>8.1000000000000003E-2</v>
      </c>
      <c r="I257" s="30" t="s">
        <v>77</v>
      </c>
      <c r="J257" s="30" t="s">
        <v>56</v>
      </c>
    </row>
    <row r="258" spans="1:13" ht="19.5" customHeight="1" x14ac:dyDescent="0.25">
      <c r="A258" s="32">
        <v>23</v>
      </c>
      <c r="B258" s="30" t="s">
        <v>76</v>
      </c>
      <c r="D258" s="34">
        <v>759.9</v>
      </c>
      <c r="E258" s="34">
        <v>0.81</v>
      </c>
      <c r="F258" s="34">
        <v>8.1000000000000003E-2</v>
      </c>
      <c r="J258" s="30" t="s">
        <v>56</v>
      </c>
    </row>
    <row r="259" spans="1:13" ht="19.5" customHeight="1" x14ac:dyDescent="0.25">
      <c r="A259" s="32">
        <v>23</v>
      </c>
      <c r="B259" s="30" t="s">
        <v>76</v>
      </c>
      <c r="D259" s="34">
        <v>771.1</v>
      </c>
      <c r="E259" s="34">
        <v>0.81</v>
      </c>
      <c r="F259" s="34">
        <v>8.1000000000000003E-2</v>
      </c>
      <c r="J259" s="30" t="s">
        <v>56</v>
      </c>
    </row>
    <row r="260" spans="1:13" ht="19.5" customHeight="1" x14ac:dyDescent="0.25">
      <c r="A260" s="32">
        <v>23</v>
      </c>
      <c r="B260" s="30" t="s">
        <v>76</v>
      </c>
      <c r="D260" s="34">
        <v>782.3</v>
      </c>
      <c r="E260" s="34">
        <v>0.81</v>
      </c>
      <c r="F260" s="34">
        <v>8.1000000000000003E-2</v>
      </c>
      <c r="J260" s="30" t="s">
        <v>56</v>
      </c>
    </row>
    <row r="261" spans="1:13" ht="19.5" customHeight="1" x14ac:dyDescent="0.25">
      <c r="A261" s="32">
        <v>23</v>
      </c>
      <c r="B261" s="30" t="s">
        <v>76</v>
      </c>
      <c r="D261" s="34">
        <v>793.5</v>
      </c>
      <c r="E261" s="34">
        <v>0.82</v>
      </c>
      <c r="F261" s="34">
        <v>8.2000000000000003E-2</v>
      </c>
      <c r="J261" s="30" t="s">
        <v>56</v>
      </c>
    </row>
    <row r="262" spans="1:13" ht="19.5" customHeight="1" x14ac:dyDescent="0.25">
      <c r="A262" s="32">
        <v>23</v>
      </c>
      <c r="B262" s="30" t="s">
        <v>76</v>
      </c>
      <c r="D262" s="34">
        <v>804.7</v>
      </c>
      <c r="E262" s="34">
        <v>0.82</v>
      </c>
      <c r="F262" s="34">
        <v>8.2000000000000003E-2</v>
      </c>
      <c r="J262" s="30" t="s">
        <v>56</v>
      </c>
    </row>
    <row r="263" spans="1:13" ht="19.5" customHeight="1" x14ac:dyDescent="0.25">
      <c r="A263" s="32">
        <v>23</v>
      </c>
      <c r="B263" s="30" t="s">
        <v>76</v>
      </c>
      <c r="D263" s="34">
        <v>815.9</v>
      </c>
      <c r="E263" s="34">
        <v>0.82</v>
      </c>
      <c r="F263" s="34">
        <v>8.2000000000000003E-2</v>
      </c>
      <c r="J263" s="30" t="s">
        <v>56</v>
      </c>
    </row>
    <row r="264" spans="1:13" ht="19.5" customHeight="1" x14ac:dyDescent="0.25">
      <c r="A264" s="32">
        <v>23</v>
      </c>
      <c r="B264" s="30" t="s">
        <v>76</v>
      </c>
      <c r="D264" s="34">
        <v>827.2</v>
      </c>
      <c r="E264" s="34">
        <v>0.82</v>
      </c>
      <c r="F264" s="34">
        <v>8.2000000000000003E-2</v>
      </c>
      <c r="J264" s="30" t="s">
        <v>56</v>
      </c>
    </row>
    <row r="265" spans="1:13" ht="19.5" customHeight="1" x14ac:dyDescent="0.25">
      <c r="A265" s="32">
        <v>23</v>
      </c>
      <c r="B265" s="30" t="s">
        <v>76</v>
      </c>
      <c r="D265" s="34">
        <v>838.4</v>
      </c>
      <c r="E265" s="34">
        <v>0.83</v>
      </c>
      <c r="F265" s="34">
        <v>8.3000000000000004E-2</v>
      </c>
      <c r="J265" s="30" t="s">
        <v>56</v>
      </c>
    </row>
    <row r="266" spans="1:13" ht="19.5" customHeight="1" x14ac:dyDescent="0.25">
      <c r="A266" s="32">
        <v>23</v>
      </c>
      <c r="B266" s="30" t="s">
        <v>76</v>
      </c>
      <c r="D266" s="34">
        <v>852.8</v>
      </c>
      <c r="E266" s="34">
        <v>0.83</v>
      </c>
      <c r="F266" s="34">
        <v>8.3000000000000004E-2</v>
      </c>
      <c r="J266" s="30" t="s">
        <v>56</v>
      </c>
    </row>
    <row r="267" spans="1:13" ht="19.5" customHeight="1" x14ac:dyDescent="0.25">
      <c r="A267" s="32">
        <v>24</v>
      </c>
      <c r="B267" s="30" t="s">
        <v>91</v>
      </c>
      <c r="D267" s="34">
        <v>808.97</v>
      </c>
      <c r="E267" s="34">
        <v>0.27400000000000002</v>
      </c>
      <c r="L267">
        <f>INTERCEPT(E267:E279,D267:D279)</f>
        <v>0.40681841362637555</v>
      </c>
      <c r="M267">
        <f>SLOPE(E267:E276,D267:D276)</f>
        <v>-1.5821741489524006E-4</v>
      </c>
    </row>
    <row r="268" spans="1:13" ht="19.5" customHeight="1" x14ac:dyDescent="0.25">
      <c r="A268" s="32">
        <v>24</v>
      </c>
      <c r="B268" s="30" t="s">
        <v>91</v>
      </c>
      <c r="D268" s="32">
        <v>802</v>
      </c>
      <c r="E268" s="34">
        <v>0.22320000000000001</v>
      </c>
    </row>
    <row r="269" spans="1:13" ht="19.5" customHeight="1" x14ac:dyDescent="0.25">
      <c r="A269" s="32">
        <v>24</v>
      </c>
      <c r="B269" s="30" t="s">
        <v>91</v>
      </c>
      <c r="D269" s="32">
        <v>804</v>
      </c>
      <c r="E269" s="34">
        <v>0.21709999999999999</v>
      </c>
    </row>
    <row r="270" spans="1:13" ht="19.5" customHeight="1" x14ac:dyDescent="0.25">
      <c r="A270" s="32">
        <v>24</v>
      </c>
      <c r="B270" s="30" t="s">
        <v>91</v>
      </c>
      <c r="D270" s="32">
        <v>804</v>
      </c>
      <c r="E270" s="34">
        <v>0.222</v>
      </c>
    </row>
    <row r="271" spans="1:13" ht="19.5" customHeight="1" x14ac:dyDescent="0.25">
      <c r="A271" s="32">
        <v>24</v>
      </c>
      <c r="B271" s="30" t="s">
        <v>91</v>
      </c>
      <c r="D271" s="32">
        <v>804</v>
      </c>
      <c r="E271" s="34">
        <v>0.2235</v>
      </c>
    </row>
    <row r="272" spans="1:13" ht="19.5" customHeight="1" x14ac:dyDescent="0.25">
      <c r="A272" s="32">
        <v>24</v>
      </c>
      <c r="B272" s="30" t="s">
        <v>91</v>
      </c>
      <c r="D272" s="34">
        <v>915.86</v>
      </c>
      <c r="E272" s="34">
        <v>0.22900000000000001</v>
      </c>
    </row>
    <row r="273" spans="1:13" ht="19.5" customHeight="1" x14ac:dyDescent="0.25">
      <c r="A273" s="32">
        <v>24</v>
      </c>
      <c r="B273" s="30" t="s">
        <v>91</v>
      </c>
      <c r="D273" s="32">
        <v>916</v>
      </c>
      <c r="E273" s="34">
        <v>0.23899999999999999</v>
      </c>
    </row>
    <row r="274" spans="1:13" ht="19.5" customHeight="1" x14ac:dyDescent="0.25">
      <c r="A274" s="32">
        <v>24</v>
      </c>
      <c r="B274" s="30" t="s">
        <v>91</v>
      </c>
      <c r="D274" s="34">
        <v>912.69</v>
      </c>
      <c r="E274" s="34">
        <v>0.22800000000000001</v>
      </c>
    </row>
    <row r="275" spans="1:13" ht="19.5" customHeight="1" x14ac:dyDescent="0.25">
      <c r="A275" s="32">
        <v>24</v>
      </c>
      <c r="B275" s="30" t="s">
        <v>91</v>
      </c>
      <c r="D275" s="34">
        <v>912.75</v>
      </c>
      <c r="E275" s="34">
        <v>0.23799999999999999</v>
      </c>
    </row>
    <row r="276" spans="1:13" ht="19.5" customHeight="1" x14ac:dyDescent="0.25">
      <c r="A276" s="32">
        <v>24</v>
      </c>
      <c r="B276" s="30" t="s">
        <v>91</v>
      </c>
      <c r="D276" s="34">
        <v>1020.87</v>
      </c>
      <c r="E276" s="34">
        <v>0.17399999999999999</v>
      </c>
    </row>
    <row r="277" spans="1:13" ht="19.5" customHeight="1" x14ac:dyDescent="0.25">
      <c r="A277" s="32">
        <v>24</v>
      </c>
      <c r="B277" s="30" t="s">
        <v>91</v>
      </c>
      <c r="D277" s="34">
        <v>1021.07</v>
      </c>
      <c r="E277" s="34">
        <v>0.20300000000000001</v>
      </c>
    </row>
    <row r="278" spans="1:13" ht="19.5" customHeight="1" x14ac:dyDescent="0.25">
      <c r="A278" s="32">
        <v>24</v>
      </c>
      <c r="B278" s="30" t="s">
        <v>91</v>
      </c>
      <c r="D278" s="34">
        <v>1021.03</v>
      </c>
      <c r="E278" s="34">
        <v>0.183</v>
      </c>
    </row>
    <row r="279" spans="1:13" ht="19.5" customHeight="1" x14ac:dyDescent="0.25">
      <c r="A279" s="32">
        <v>24</v>
      </c>
      <c r="B279" s="30" t="s">
        <v>91</v>
      </c>
      <c r="D279" s="34">
        <v>1021.12</v>
      </c>
      <c r="E279" s="34">
        <v>0.17699999999999999</v>
      </c>
    </row>
    <row r="280" spans="1:13" ht="19.5" customHeight="1" x14ac:dyDescent="0.25">
      <c r="A280" s="32">
        <v>70</v>
      </c>
      <c r="B280" s="30" t="s">
        <v>102</v>
      </c>
      <c r="D280" s="34">
        <v>869.15</v>
      </c>
      <c r="E280" s="34">
        <v>0.26571392625112045</v>
      </c>
      <c r="L280">
        <f>INTERCEPT(E280:E284,D280:D284)</f>
        <v>-0.22568360742780519</v>
      </c>
      <c r="M280">
        <f>SLOPE(E280:E284,D280:D284)</f>
        <v>5.768371746472709E-4</v>
      </c>
    </row>
    <row r="281" spans="1:13" ht="19.5" customHeight="1" x14ac:dyDescent="0.25">
      <c r="A281" s="32">
        <v>70</v>
      </c>
      <c r="B281" s="30" t="s">
        <v>102</v>
      </c>
      <c r="D281" s="34">
        <v>921.15</v>
      </c>
      <c r="E281" s="34">
        <v>0.31220301929656041</v>
      </c>
    </row>
    <row r="282" spans="1:13" ht="19.5" customHeight="1" x14ac:dyDescent="0.25">
      <c r="A282" s="32">
        <v>70</v>
      </c>
      <c r="B282" s="30" t="s">
        <v>102</v>
      </c>
      <c r="D282" s="34">
        <v>971.15</v>
      </c>
      <c r="E282" s="34">
        <v>0.34148629258281887</v>
      </c>
    </row>
    <row r="283" spans="1:13" ht="19.5" customHeight="1" x14ac:dyDescent="0.25">
      <c r="A283" s="32">
        <v>70</v>
      </c>
      <c r="B283" s="30" t="s">
        <v>102</v>
      </c>
      <c r="D283" s="34">
        <v>1021.15</v>
      </c>
      <c r="E283" s="34">
        <v>0.37004593439493438</v>
      </c>
    </row>
    <row r="284" spans="1:13" ht="19.5" customHeight="1" x14ac:dyDescent="0.25">
      <c r="A284" s="32">
        <v>70</v>
      </c>
      <c r="B284" s="30" t="s">
        <v>102</v>
      </c>
      <c r="D284" s="34">
        <v>1071.1500000000001</v>
      </c>
      <c r="E284" s="34">
        <v>0.38195622677973079</v>
      </c>
    </row>
    <row r="285" spans="1:13" ht="19.5" customHeight="1" x14ac:dyDescent="0.25">
      <c r="A285" s="32">
        <v>25</v>
      </c>
      <c r="B285" s="30" t="s">
        <v>78</v>
      </c>
      <c r="D285" s="34">
        <v>1127.6041666666599</v>
      </c>
      <c r="E285" s="34">
        <v>1.31781376518218</v>
      </c>
      <c r="F285" s="34">
        <v>6.3E-2</v>
      </c>
    </row>
    <row r="286" spans="1:13" ht="19.5" customHeight="1" x14ac:dyDescent="0.25">
      <c r="A286" s="32">
        <v>25</v>
      </c>
      <c r="B286" s="30" t="s">
        <v>78</v>
      </c>
      <c r="D286" s="34">
        <v>1127.6041666666599</v>
      </c>
      <c r="E286" s="34">
        <v>1.26113360323886</v>
      </c>
      <c r="F286" s="34">
        <v>6.3E-2</v>
      </c>
    </row>
    <row r="287" spans="1:13" ht="19.5" customHeight="1" x14ac:dyDescent="0.25">
      <c r="A287" s="32">
        <v>25</v>
      </c>
      <c r="B287" s="30" t="s">
        <v>78</v>
      </c>
      <c r="D287" s="34">
        <v>1127.6041666666599</v>
      </c>
      <c r="E287" s="34">
        <v>1.15182186234817</v>
      </c>
      <c r="F287" s="34">
        <v>6.3E-2</v>
      </c>
    </row>
    <row r="288" spans="1:13" ht="19.5" customHeight="1" x14ac:dyDescent="0.25">
      <c r="A288" s="32">
        <v>25</v>
      </c>
      <c r="B288" s="30" t="s">
        <v>78</v>
      </c>
      <c r="D288" s="34">
        <v>1299.4791666666599</v>
      </c>
      <c r="E288" s="34">
        <v>1.4716599190283299</v>
      </c>
      <c r="F288" s="34">
        <v>6.3E-2</v>
      </c>
    </row>
    <row r="289" spans="1:6" ht="19.5" customHeight="1" x14ac:dyDescent="0.25">
      <c r="A289" s="32">
        <v>25</v>
      </c>
      <c r="B289" s="30" t="s">
        <v>78</v>
      </c>
      <c r="D289" s="34">
        <v>1299.4791666666599</v>
      </c>
      <c r="E289" s="34">
        <v>1.2145748987854199</v>
      </c>
      <c r="F289" s="34">
        <v>6.3E-2</v>
      </c>
    </row>
    <row r="290" spans="1:6" ht="19.5" customHeight="1" x14ac:dyDescent="0.25">
      <c r="A290" s="32">
        <v>25</v>
      </c>
      <c r="B290" s="30" t="s">
        <v>79</v>
      </c>
      <c r="D290" s="34">
        <v>1150.5208333333301</v>
      </c>
      <c r="E290" s="34">
        <v>1.3947368421052599</v>
      </c>
      <c r="F290" s="34">
        <v>6.3E-2</v>
      </c>
    </row>
    <row r="291" spans="1:6" ht="19.5" customHeight="1" x14ac:dyDescent="0.25">
      <c r="A291" s="32">
        <v>25</v>
      </c>
      <c r="B291" s="30" t="s">
        <v>79</v>
      </c>
      <c r="D291" s="34">
        <v>1151.0416666666599</v>
      </c>
      <c r="E291" s="34">
        <v>1.23684210526315</v>
      </c>
      <c r="F291" s="34">
        <v>6.3E-2</v>
      </c>
    </row>
    <row r="292" spans="1:6" ht="19.5" customHeight="1" x14ac:dyDescent="0.25">
      <c r="A292" s="32">
        <v>25</v>
      </c>
      <c r="B292" s="30" t="s">
        <v>79</v>
      </c>
      <c r="D292" s="34">
        <v>1168.75</v>
      </c>
      <c r="E292" s="34">
        <v>1.34412955465587</v>
      </c>
      <c r="F292" s="34">
        <v>6.3E-2</v>
      </c>
    </row>
    <row r="293" spans="1:6" ht="19.5" customHeight="1" x14ac:dyDescent="0.25">
      <c r="A293" s="32">
        <v>25</v>
      </c>
      <c r="B293" s="30" t="s">
        <v>79</v>
      </c>
      <c r="D293" s="34">
        <v>1193.2291666666599</v>
      </c>
      <c r="E293" s="34">
        <v>1.0546558704453399</v>
      </c>
      <c r="F293" s="34">
        <v>6.3E-2</v>
      </c>
    </row>
    <row r="294" spans="1:6" ht="19.5" customHeight="1" x14ac:dyDescent="0.25">
      <c r="A294" s="32">
        <v>25</v>
      </c>
      <c r="B294" s="30" t="s">
        <v>79</v>
      </c>
      <c r="D294" s="34">
        <v>1224.4791666666599</v>
      </c>
      <c r="E294" s="34">
        <v>1.31376518218623</v>
      </c>
      <c r="F294" s="34">
        <v>6.3E-2</v>
      </c>
    </row>
    <row r="295" spans="1:6" ht="19.5" customHeight="1" x14ac:dyDescent="0.25">
      <c r="A295" s="32">
        <v>25</v>
      </c>
      <c r="B295" s="30" t="s">
        <v>79</v>
      </c>
      <c r="D295" s="34">
        <v>1207.2916666666599</v>
      </c>
      <c r="E295" s="34">
        <v>1.4493927125506001</v>
      </c>
    </row>
    <row r="296" spans="1:6" ht="19.5" customHeight="1" x14ac:dyDescent="0.25">
      <c r="A296" s="32">
        <v>25</v>
      </c>
      <c r="B296" s="30" t="s">
        <v>79</v>
      </c>
      <c r="D296" s="34">
        <v>1239.06249999999</v>
      </c>
      <c r="E296" s="34">
        <v>1.4655870445344099</v>
      </c>
    </row>
    <row r="297" spans="1:6" ht="19.5" customHeight="1" x14ac:dyDescent="0.25">
      <c r="A297" s="32">
        <v>25</v>
      </c>
      <c r="B297" s="30" t="s">
        <v>79</v>
      </c>
      <c r="D297" s="34">
        <v>1275.5208333333301</v>
      </c>
      <c r="E297" s="34">
        <v>1.4352226720647701</v>
      </c>
    </row>
    <row r="298" spans="1:6" ht="19.5" customHeight="1" x14ac:dyDescent="0.25">
      <c r="A298" s="32">
        <v>25</v>
      </c>
      <c r="B298" s="30" t="s">
        <v>79</v>
      </c>
      <c r="D298" s="34">
        <v>1314.06249999999</v>
      </c>
      <c r="E298" s="34">
        <v>1.18218623481781</v>
      </c>
    </row>
    <row r="299" spans="1:6" ht="19.5" customHeight="1" x14ac:dyDescent="0.25">
      <c r="A299" s="32">
        <v>25</v>
      </c>
      <c r="B299" s="30" t="s">
        <v>79</v>
      </c>
      <c r="D299" s="34">
        <v>1371.875</v>
      </c>
      <c r="E299" s="34">
        <v>1.23684210526315</v>
      </c>
    </row>
    <row r="300" spans="1:6" ht="19.5" customHeight="1" x14ac:dyDescent="0.25">
      <c r="A300" s="32">
        <v>47</v>
      </c>
      <c r="B300" s="30" t="s">
        <v>112</v>
      </c>
      <c r="D300" s="34">
        <v>979.73856209150301</v>
      </c>
      <c r="E300" s="34">
        <v>0.67127071823204398</v>
      </c>
    </row>
    <row r="301" spans="1:6" ht="19.5" customHeight="1" x14ac:dyDescent="0.25">
      <c r="A301" s="32">
        <v>47</v>
      </c>
      <c r="B301" s="30" t="s">
        <v>112</v>
      </c>
      <c r="D301" s="34">
        <v>1004.79302832244</v>
      </c>
      <c r="E301" s="34">
        <v>0.63535911602209905</v>
      </c>
    </row>
    <row r="302" spans="1:6" ht="19.5" customHeight="1" x14ac:dyDescent="0.25">
      <c r="A302" s="32">
        <v>47</v>
      </c>
      <c r="B302" s="30" t="s">
        <v>112</v>
      </c>
      <c r="D302" s="34">
        <v>1010.23965141612</v>
      </c>
      <c r="E302" s="34">
        <v>0.60220994475138101</v>
      </c>
    </row>
    <row r="303" spans="1:6" ht="19.5" customHeight="1" x14ac:dyDescent="0.25">
      <c r="A303" s="32">
        <v>47</v>
      </c>
      <c r="B303" s="30" t="s">
        <v>112</v>
      </c>
      <c r="D303" s="34">
        <v>1002.61437908496</v>
      </c>
      <c r="E303" s="34">
        <v>0.57182320441988899</v>
      </c>
    </row>
    <row r="304" spans="1:6" ht="19.5" customHeight="1" x14ac:dyDescent="0.25">
      <c r="A304" s="32">
        <v>47</v>
      </c>
      <c r="B304" s="30" t="s">
        <v>112</v>
      </c>
      <c r="D304" s="34">
        <v>980.827886710239</v>
      </c>
      <c r="E304" s="34">
        <v>0.574585635359115</v>
      </c>
    </row>
    <row r="305" spans="1:5" ht="19.5" customHeight="1" x14ac:dyDescent="0.25">
      <c r="A305" s="32">
        <v>47</v>
      </c>
      <c r="B305" s="30" t="s">
        <v>112</v>
      </c>
      <c r="D305" s="34">
        <v>980.827886710239</v>
      </c>
      <c r="E305" s="34">
        <v>0.59668508287292799</v>
      </c>
    </row>
    <row r="306" spans="1:5" ht="19.5" customHeight="1" x14ac:dyDescent="0.25">
      <c r="A306" s="32">
        <v>47</v>
      </c>
      <c r="B306" s="30" t="s">
        <v>112</v>
      </c>
      <c r="D306" s="34">
        <v>965.57734204792996</v>
      </c>
      <c r="E306" s="34">
        <v>0.58287292817679504</v>
      </c>
    </row>
    <row r="307" spans="1:5" ht="19.5" customHeight="1" x14ac:dyDescent="0.25">
      <c r="A307" s="32">
        <v>47</v>
      </c>
      <c r="B307" s="30" t="s">
        <v>112</v>
      </c>
      <c r="D307" s="34">
        <v>1124.6187363834399</v>
      </c>
      <c r="E307" s="34">
        <v>0.61878453038673997</v>
      </c>
    </row>
    <row r="308" spans="1:5" ht="19.5" customHeight="1" x14ac:dyDescent="0.25">
      <c r="A308" s="32">
        <v>47</v>
      </c>
      <c r="B308" s="30" t="s">
        <v>112</v>
      </c>
      <c r="D308" s="34">
        <v>1124.6187363834399</v>
      </c>
      <c r="E308" s="34">
        <v>0.599447513812154</v>
      </c>
    </row>
    <row r="309" spans="1:5" ht="19.5" customHeight="1" x14ac:dyDescent="0.25">
      <c r="A309" s="32">
        <v>47</v>
      </c>
      <c r="B309" s="30" t="s">
        <v>112</v>
      </c>
      <c r="D309" s="34">
        <v>1210.67538126361</v>
      </c>
      <c r="E309" s="34">
        <v>0.49723756906077299</v>
      </c>
    </row>
    <row r="310" spans="1:5" ht="19.5" customHeight="1" x14ac:dyDescent="0.25">
      <c r="A310" s="32">
        <v>47</v>
      </c>
      <c r="B310" s="30" t="s">
        <v>112</v>
      </c>
      <c r="D310" s="34">
        <v>1242.2657952069701</v>
      </c>
      <c r="E310" s="34">
        <v>0.57182320441988899</v>
      </c>
    </row>
    <row r="311" spans="1:5" ht="19.5" customHeight="1" x14ac:dyDescent="0.25">
      <c r="A311" s="32">
        <v>47</v>
      </c>
      <c r="B311" s="30" t="s">
        <v>112</v>
      </c>
      <c r="D311" s="34">
        <v>1244.44444444444</v>
      </c>
      <c r="E311" s="34">
        <v>0.41988950276243098</v>
      </c>
    </row>
    <row r="312" spans="1:5" ht="19.5" customHeight="1" x14ac:dyDescent="0.25">
      <c r="A312" s="32">
        <v>47</v>
      </c>
      <c r="B312" s="30" t="s">
        <v>112</v>
      </c>
      <c r="D312" s="34">
        <v>1282.5708061002099</v>
      </c>
      <c r="E312" s="34">
        <v>0.44198895027624302</v>
      </c>
    </row>
    <row r="313" spans="1:5" ht="19.5" customHeight="1" x14ac:dyDescent="0.25">
      <c r="A313" s="32">
        <v>47</v>
      </c>
      <c r="B313" s="30" t="s">
        <v>112</v>
      </c>
      <c r="D313" s="34">
        <v>1274.9455337690599</v>
      </c>
      <c r="E313" s="34">
        <v>0.46685082872928202</v>
      </c>
    </row>
    <row r="314" spans="1:5" ht="19.5" customHeight="1" x14ac:dyDescent="0.25">
      <c r="A314" s="32">
        <v>47</v>
      </c>
      <c r="B314" s="30" t="s">
        <v>112</v>
      </c>
      <c r="D314" s="34">
        <v>1277.1241830065301</v>
      </c>
      <c r="E314" s="34">
        <v>0.524861878453038</v>
      </c>
    </row>
    <row r="315" spans="1:5" ht="19.5" customHeight="1" x14ac:dyDescent="0.25">
      <c r="A315" s="32">
        <v>47</v>
      </c>
      <c r="B315" s="30" t="s">
        <v>112</v>
      </c>
      <c r="D315" s="34">
        <v>1277.1241830065301</v>
      </c>
      <c r="E315" s="34">
        <v>0.56077348066298305</v>
      </c>
    </row>
    <row r="316" spans="1:5" ht="19.5" customHeight="1" x14ac:dyDescent="0.25">
      <c r="A316" s="32">
        <v>47</v>
      </c>
      <c r="B316" s="30" t="s">
        <v>112</v>
      </c>
      <c r="D316" s="34">
        <v>1320.69716775599</v>
      </c>
      <c r="E316" s="34">
        <v>0.450276243093922</v>
      </c>
    </row>
    <row r="317" spans="1:5" ht="19.5" customHeight="1" x14ac:dyDescent="0.25">
      <c r="A317" s="32">
        <v>48</v>
      </c>
      <c r="B317" s="30" t="s">
        <v>113</v>
      </c>
      <c r="D317" s="34">
        <v>907.84313725490199</v>
      </c>
      <c r="E317" s="34">
        <v>0.80110497237569001</v>
      </c>
    </row>
    <row r="318" spans="1:5" ht="19.5" customHeight="1" x14ac:dyDescent="0.25">
      <c r="A318" s="32">
        <v>48</v>
      </c>
      <c r="B318" s="30" t="s">
        <v>113</v>
      </c>
      <c r="D318" s="34">
        <v>942.70152505446595</v>
      </c>
      <c r="E318" s="34">
        <v>0.81215469613259605</v>
      </c>
    </row>
    <row r="319" spans="1:5" ht="19.5" customHeight="1" x14ac:dyDescent="0.25">
      <c r="A319" s="32">
        <v>48</v>
      </c>
      <c r="B319" s="30" t="s">
        <v>113</v>
      </c>
      <c r="D319" s="34">
        <v>978.649237472766</v>
      </c>
      <c r="E319" s="34">
        <v>0.85359116022099402</v>
      </c>
    </row>
    <row r="320" spans="1:5" ht="19.5" customHeight="1" x14ac:dyDescent="0.25">
      <c r="A320" s="32">
        <v>48</v>
      </c>
      <c r="B320" s="30" t="s">
        <v>113</v>
      </c>
      <c r="D320" s="34">
        <v>1006.9716775599099</v>
      </c>
      <c r="E320" s="34">
        <v>0.87016574585635298</v>
      </c>
    </row>
    <row r="321" spans="1:8" ht="19.5" customHeight="1" x14ac:dyDescent="0.25">
      <c r="A321" s="32">
        <v>48</v>
      </c>
      <c r="B321" s="30" t="s">
        <v>113</v>
      </c>
      <c r="D321" s="34">
        <v>1034.20479302832</v>
      </c>
      <c r="E321" s="34">
        <v>0.88950276243093895</v>
      </c>
    </row>
    <row r="322" spans="1:8" ht="19.5" customHeight="1" x14ac:dyDescent="0.25">
      <c r="A322" s="32">
        <v>48</v>
      </c>
      <c r="B322" s="30" t="s">
        <v>113</v>
      </c>
      <c r="D322" s="34">
        <v>1087.5816993464</v>
      </c>
      <c r="E322" s="34">
        <v>0.96408839779005495</v>
      </c>
    </row>
    <row r="323" spans="1:8" ht="19.5" customHeight="1" x14ac:dyDescent="0.25">
      <c r="A323" s="32">
        <v>4</v>
      </c>
      <c r="B323" s="33" t="s">
        <v>48</v>
      </c>
      <c r="D323" s="34">
        <v>1087.31808731808</v>
      </c>
      <c r="E323" s="34">
        <v>0.45161290322580599</v>
      </c>
      <c r="H323" s="30" t="s">
        <v>45</v>
      </c>
    </row>
    <row r="324" spans="1:8" ht="19.5" customHeight="1" x14ac:dyDescent="0.25">
      <c r="A324" s="32">
        <v>4</v>
      </c>
      <c r="B324" s="30" t="s">
        <v>48</v>
      </c>
      <c r="D324" s="34">
        <v>1118.50311850311</v>
      </c>
      <c r="E324" s="34">
        <v>0.42580645161290298</v>
      </c>
      <c r="H324" s="30" t="s">
        <v>45</v>
      </c>
    </row>
    <row r="325" spans="1:8" ht="19.5" customHeight="1" x14ac:dyDescent="0.25">
      <c r="A325" s="32">
        <v>4</v>
      </c>
      <c r="B325" s="30" t="s">
        <v>48</v>
      </c>
      <c r="D325" s="34">
        <v>1118.50311850311</v>
      </c>
      <c r="E325" s="34">
        <v>0.44999999999999901</v>
      </c>
      <c r="H325" s="30" t="s">
        <v>45</v>
      </c>
    </row>
    <row r="326" spans="1:8" ht="19.5" customHeight="1" x14ac:dyDescent="0.25">
      <c r="A326" s="32">
        <v>4</v>
      </c>
      <c r="B326" s="30" t="s">
        <v>48</v>
      </c>
      <c r="D326" s="34">
        <v>1147.6091476091401</v>
      </c>
      <c r="E326" s="34">
        <v>0.44354838709677302</v>
      </c>
      <c r="H326" s="30" t="s">
        <v>45</v>
      </c>
    </row>
    <row r="327" spans="1:8" ht="19.5" customHeight="1" x14ac:dyDescent="0.25">
      <c r="A327" s="32">
        <v>4</v>
      </c>
      <c r="B327" s="30" t="s">
        <v>48</v>
      </c>
      <c r="D327" s="34">
        <v>1147.6091476091401</v>
      </c>
      <c r="E327" s="34">
        <v>0.42741935483870902</v>
      </c>
      <c r="H327" s="30" t="s">
        <v>45</v>
      </c>
    </row>
    <row r="328" spans="1:8" ht="19.5" customHeight="1" x14ac:dyDescent="0.25">
      <c r="A328" s="32">
        <v>4</v>
      </c>
      <c r="B328" s="30" t="s">
        <v>48</v>
      </c>
      <c r="D328" s="34">
        <v>1147.6091476091401</v>
      </c>
      <c r="E328" s="34">
        <v>0.40645161290322501</v>
      </c>
      <c r="H328" s="30" t="s">
        <v>45</v>
      </c>
    </row>
    <row r="329" spans="1:8" ht="19.5" customHeight="1" x14ac:dyDescent="0.25">
      <c r="A329" s="32">
        <v>4</v>
      </c>
      <c r="B329" s="30" t="s">
        <v>48</v>
      </c>
      <c r="D329" s="34">
        <v>1175.6756756756699</v>
      </c>
      <c r="E329" s="34">
        <v>0.41774193548387001</v>
      </c>
      <c r="H329" s="30" t="s">
        <v>45</v>
      </c>
    </row>
    <row r="330" spans="1:8" ht="19.5" customHeight="1" x14ac:dyDescent="0.25">
      <c r="A330" s="32">
        <v>5</v>
      </c>
      <c r="B330" s="33" t="s">
        <v>49</v>
      </c>
      <c r="D330" s="34">
        <v>1169.4386694386601</v>
      </c>
      <c r="E330" s="34">
        <v>0.51451612903225696</v>
      </c>
      <c r="H330" s="30" t="s">
        <v>45</v>
      </c>
    </row>
    <row r="331" spans="1:8" ht="19.5" customHeight="1" x14ac:dyDescent="0.25">
      <c r="A331" s="32">
        <v>5</v>
      </c>
      <c r="B331" s="30" t="s">
        <v>49</v>
      </c>
      <c r="D331" s="34">
        <v>1171.5176715176699</v>
      </c>
      <c r="E331" s="34">
        <v>0.488709677419354</v>
      </c>
      <c r="H331" s="30" t="s">
        <v>45</v>
      </c>
    </row>
    <row r="332" spans="1:8" ht="19.5" customHeight="1" x14ac:dyDescent="0.25">
      <c r="A332" s="32">
        <v>5</v>
      </c>
      <c r="B332" s="30" t="s">
        <v>49</v>
      </c>
      <c r="D332" s="34">
        <v>1274.42827442827</v>
      </c>
      <c r="E332" s="34">
        <v>0.488709677419354</v>
      </c>
      <c r="H332" s="30" t="s">
        <v>45</v>
      </c>
    </row>
    <row r="333" spans="1:8" ht="19.5" customHeight="1" x14ac:dyDescent="0.25">
      <c r="A333" s="32">
        <v>5</v>
      </c>
      <c r="B333" s="30" t="s">
        <v>49</v>
      </c>
      <c r="D333" s="34">
        <v>1294.17879417879</v>
      </c>
      <c r="E333" s="34">
        <v>0.46612903225806401</v>
      </c>
      <c r="H333" s="30" t="s">
        <v>45</v>
      </c>
    </row>
    <row r="334" spans="1:8" ht="19.5" customHeight="1" x14ac:dyDescent="0.25">
      <c r="A334" s="32">
        <v>5</v>
      </c>
      <c r="B334" s="30" t="s">
        <v>49</v>
      </c>
      <c r="D334" s="34">
        <v>1354.4698544698499</v>
      </c>
      <c r="E334" s="34">
        <v>0.46129032258064401</v>
      </c>
      <c r="H334" s="30" t="s">
        <v>45</v>
      </c>
    </row>
    <row r="335" spans="1:8" ht="19.5" customHeight="1" x14ac:dyDescent="0.25">
      <c r="A335" s="32">
        <v>5</v>
      </c>
      <c r="B335" s="30" t="s">
        <v>49</v>
      </c>
      <c r="D335" s="34">
        <v>1392.9313929313901</v>
      </c>
      <c r="E335" s="34">
        <v>0.46129032258064401</v>
      </c>
      <c r="H335" s="30" t="s">
        <v>45</v>
      </c>
    </row>
    <row r="336" spans="1:8" ht="19.5" customHeight="1" x14ac:dyDescent="0.25">
      <c r="A336" s="32">
        <v>5</v>
      </c>
      <c r="B336" s="30" t="s">
        <v>49</v>
      </c>
      <c r="D336" s="34">
        <v>1403.3264033263999</v>
      </c>
      <c r="E336" s="34">
        <v>0.45967741935483802</v>
      </c>
      <c r="H336" s="30" t="s">
        <v>45</v>
      </c>
    </row>
    <row r="337" spans="1:8" ht="19.5" customHeight="1" x14ac:dyDescent="0.25">
      <c r="A337" s="32">
        <v>5</v>
      </c>
      <c r="B337" s="30" t="s">
        <v>49</v>
      </c>
      <c r="D337" s="34">
        <v>1401.2474012473999</v>
      </c>
      <c r="E337" s="34">
        <v>0.43548387096774099</v>
      </c>
      <c r="H337" s="30" t="s">
        <v>45</v>
      </c>
    </row>
    <row r="338" spans="1:8" ht="19.5" customHeight="1" x14ac:dyDescent="0.25">
      <c r="A338" s="32">
        <v>5</v>
      </c>
      <c r="B338" s="30" t="s">
        <v>49</v>
      </c>
      <c r="D338" s="34">
        <v>1440.7484407484401</v>
      </c>
      <c r="E338" s="34">
        <v>0.44838709677419297</v>
      </c>
      <c r="H338" s="30" t="s">
        <v>45</v>
      </c>
    </row>
    <row r="339" spans="1:8" ht="19.5" customHeight="1" x14ac:dyDescent="0.25">
      <c r="A339" s="32">
        <v>5</v>
      </c>
      <c r="B339" s="30" t="s">
        <v>49</v>
      </c>
      <c r="D339" s="34">
        <v>1438.6694386694301</v>
      </c>
      <c r="E339" s="34">
        <v>0.42258064516129001</v>
      </c>
      <c r="H339" s="30" t="s">
        <v>45</v>
      </c>
    </row>
    <row r="340" spans="1:8" ht="19.5" customHeight="1" x14ac:dyDescent="0.25">
      <c r="A340" s="32">
        <v>6</v>
      </c>
      <c r="B340" s="33" t="s">
        <v>50</v>
      </c>
      <c r="D340" s="34">
        <v>1072.76507276507</v>
      </c>
      <c r="E340" s="34">
        <v>0.39354838709677298</v>
      </c>
      <c r="H340" s="30" t="s">
        <v>45</v>
      </c>
    </row>
    <row r="341" spans="1:8" ht="19.5" customHeight="1" x14ac:dyDescent="0.25">
      <c r="A341" s="32">
        <v>6</v>
      </c>
      <c r="B341" s="30" t="s">
        <v>50</v>
      </c>
      <c r="D341" s="34">
        <v>1072.76507276507</v>
      </c>
      <c r="E341" s="34">
        <v>0.42741935483870902</v>
      </c>
      <c r="H341" s="30" t="s">
        <v>45</v>
      </c>
    </row>
    <row r="342" spans="1:8" ht="19.5" customHeight="1" x14ac:dyDescent="0.25">
      <c r="A342" s="32">
        <v>6</v>
      </c>
      <c r="B342" s="30" t="s">
        <v>50</v>
      </c>
      <c r="D342" s="34">
        <v>1241.1642411642399</v>
      </c>
      <c r="E342" s="34">
        <v>0.429032258064515</v>
      </c>
      <c r="H342" s="30" t="s">
        <v>45</v>
      </c>
    </row>
    <row r="343" spans="1:8" ht="19.5" customHeight="1" x14ac:dyDescent="0.25">
      <c r="A343" s="32">
        <v>6</v>
      </c>
      <c r="B343" s="30" t="s">
        <v>50</v>
      </c>
      <c r="D343" s="34">
        <v>1242.2037422037399</v>
      </c>
      <c r="E343" s="34">
        <v>0.40967741935483798</v>
      </c>
      <c r="H343" s="30" t="s">
        <v>45</v>
      </c>
    </row>
    <row r="344" spans="1:8" ht="19.5" customHeight="1" x14ac:dyDescent="0.25">
      <c r="A344" s="32">
        <v>6</v>
      </c>
      <c r="B344" s="30" t="s">
        <v>50</v>
      </c>
      <c r="D344" s="34">
        <v>1240.1247401247399</v>
      </c>
      <c r="E344" s="34">
        <v>0.39193548387096699</v>
      </c>
      <c r="H344" s="30" t="s">
        <v>45</v>
      </c>
    </row>
    <row r="345" spans="1:8" ht="19.5" customHeight="1" x14ac:dyDescent="0.25">
      <c r="A345" s="32">
        <v>7</v>
      </c>
      <c r="B345" s="33" t="s">
        <v>51</v>
      </c>
      <c r="D345" s="34">
        <v>1093.55509355509</v>
      </c>
      <c r="E345" s="34">
        <v>0.73064516129032198</v>
      </c>
      <c r="H345" s="30" t="s">
        <v>45</v>
      </c>
    </row>
    <row r="346" spans="1:8" ht="19.5" customHeight="1" x14ac:dyDescent="0.25">
      <c r="A346" s="32">
        <v>7</v>
      </c>
      <c r="B346" s="30" t="s">
        <v>51</v>
      </c>
      <c r="D346" s="34">
        <v>1113.30561330561</v>
      </c>
      <c r="E346" s="34">
        <v>0.73387096774193505</v>
      </c>
      <c r="H346" s="30" t="s">
        <v>45</v>
      </c>
    </row>
    <row r="347" spans="1:8" ht="19.5" customHeight="1" x14ac:dyDescent="0.25">
      <c r="A347" s="32">
        <v>7</v>
      </c>
      <c r="B347" s="30" t="s">
        <v>51</v>
      </c>
      <c r="D347" s="34">
        <v>1110.18711018711</v>
      </c>
      <c r="E347" s="34">
        <v>0.74032258064515999</v>
      </c>
      <c r="H347" s="30" t="s">
        <v>45</v>
      </c>
    </row>
    <row r="348" spans="1:8" ht="19.5" customHeight="1" x14ac:dyDescent="0.25">
      <c r="A348" s="32">
        <v>7</v>
      </c>
      <c r="B348" s="30" t="s">
        <v>51</v>
      </c>
      <c r="D348" s="34">
        <v>1124.7401247401201</v>
      </c>
      <c r="E348" s="34">
        <v>0.75967741935483801</v>
      </c>
      <c r="H348" s="30" t="s">
        <v>45</v>
      </c>
    </row>
    <row r="349" spans="1:8" ht="19.5" customHeight="1" x14ac:dyDescent="0.25">
      <c r="A349" s="32">
        <v>7</v>
      </c>
      <c r="B349" s="30" t="s">
        <v>51</v>
      </c>
      <c r="D349" s="34">
        <v>1135.13513513513</v>
      </c>
      <c r="E349" s="34">
        <v>0.761290322580644</v>
      </c>
      <c r="H349" s="30" t="s">
        <v>45</v>
      </c>
    </row>
    <row r="350" spans="1:8" ht="19.5" customHeight="1" x14ac:dyDescent="0.25">
      <c r="A350" s="32">
        <v>7</v>
      </c>
      <c r="B350" s="30" t="s">
        <v>51</v>
      </c>
      <c r="D350" s="34">
        <v>1147.6091476091401</v>
      </c>
      <c r="E350" s="34">
        <v>0.782258064516128</v>
      </c>
      <c r="H350" s="30" t="s">
        <v>45</v>
      </c>
    </row>
    <row r="351" spans="1:8" ht="19.5" customHeight="1" x14ac:dyDescent="0.25">
      <c r="A351" s="32">
        <v>27</v>
      </c>
      <c r="B351" s="30" t="s">
        <v>81</v>
      </c>
      <c r="D351" s="34">
        <v>1197.57645701096</v>
      </c>
      <c r="E351" s="34">
        <v>0.31661786237188899</v>
      </c>
    </row>
    <row r="352" spans="1:8" ht="19.5" customHeight="1" x14ac:dyDescent="0.25">
      <c r="A352" s="32">
        <v>27</v>
      </c>
      <c r="B352" s="30" t="s">
        <v>81</v>
      </c>
      <c r="D352" s="34">
        <v>1197.57645701096</v>
      </c>
      <c r="E352" s="34">
        <v>0.334407027818447</v>
      </c>
    </row>
    <row r="353" spans="1:5" ht="19.5" customHeight="1" x14ac:dyDescent="0.25">
      <c r="A353" s="32">
        <v>27</v>
      </c>
      <c r="B353" s="30" t="s">
        <v>81</v>
      </c>
      <c r="D353" s="34">
        <v>1160.6462781304001</v>
      </c>
      <c r="E353" s="34">
        <v>0.34231332357247402</v>
      </c>
    </row>
    <row r="354" spans="1:5" ht="19.5" customHeight="1" x14ac:dyDescent="0.25">
      <c r="A354" s="32">
        <v>27</v>
      </c>
      <c r="B354" s="30" t="s">
        <v>81</v>
      </c>
      <c r="D354" s="34">
        <v>1160.6462781304001</v>
      </c>
      <c r="E354" s="34">
        <v>0.32320644216691002</v>
      </c>
    </row>
    <row r="355" spans="1:5" ht="19.5" customHeight="1" x14ac:dyDescent="0.25">
      <c r="A355" s="32">
        <v>27</v>
      </c>
      <c r="B355" s="30" t="s">
        <v>81</v>
      </c>
      <c r="D355" s="34">
        <v>1131.5637622619699</v>
      </c>
      <c r="E355" s="34">
        <v>0.34428989751097999</v>
      </c>
    </row>
    <row r="356" spans="1:5" ht="19.5" customHeight="1" x14ac:dyDescent="0.25">
      <c r="A356" s="32">
        <v>27</v>
      </c>
      <c r="B356" s="30" t="s">
        <v>81</v>
      </c>
      <c r="D356" s="34">
        <v>1132.0253894979801</v>
      </c>
      <c r="E356" s="34">
        <v>0.32781844802342602</v>
      </c>
    </row>
    <row r="357" spans="1:5" ht="19.5" customHeight="1" x14ac:dyDescent="0.25">
      <c r="A357" s="32">
        <v>27</v>
      </c>
      <c r="B357" s="30" t="s">
        <v>81</v>
      </c>
      <c r="D357" s="34">
        <v>1102.0196191575301</v>
      </c>
      <c r="E357" s="34">
        <v>0.34890190336749599</v>
      </c>
    </row>
    <row r="358" spans="1:5" ht="19.5" customHeight="1" x14ac:dyDescent="0.25">
      <c r="A358" s="32">
        <v>27</v>
      </c>
      <c r="B358" s="30" t="s">
        <v>81</v>
      </c>
      <c r="D358" s="34">
        <v>1090.9405654933601</v>
      </c>
      <c r="E358" s="34">
        <v>0.36207906295754</v>
      </c>
    </row>
    <row r="359" spans="1:5" ht="19.5" customHeight="1" x14ac:dyDescent="0.25">
      <c r="A359" s="32">
        <v>27</v>
      </c>
      <c r="B359" s="30" t="s">
        <v>81</v>
      </c>
      <c r="D359" s="34">
        <v>1090.01731102135</v>
      </c>
      <c r="E359" s="34">
        <v>0.33770131771595902</v>
      </c>
    </row>
    <row r="360" spans="1:5" ht="19.5" customHeight="1" x14ac:dyDescent="0.25">
      <c r="A360" s="32">
        <v>27</v>
      </c>
      <c r="B360" s="30" t="s">
        <v>81</v>
      </c>
      <c r="D360" s="34">
        <v>1097.8649740334599</v>
      </c>
      <c r="E360" s="34">
        <v>0.33374816983894601</v>
      </c>
    </row>
    <row r="361" spans="1:5" ht="19.5" customHeight="1" x14ac:dyDescent="0.25">
      <c r="A361" s="32">
        <v>27</v>
      </c>
      <c r="B361" s="30" t="s">
        <v>81</v>
      </c>
      <c r="D361" s="34">
        <v>1052.1638776687801</v>
      </c>
      <c r="E361" s="34">
        <v>0.36207906295754</v>
      </c>
    </row>
    <row r="362" spans="1:5" ht="19.5" customHeight="1" x14ac:dyDescent="0.25">
      <c r="A362" s="32">
        <v>27</v>
      </c>
      <c r="B362" s="30" t="s">
        <v>81</v>
      </c>
      <c r="D362" s="34">
        <v>1056.7801500288499</v>
      </c>
      <c r="E362" s="34">
        <v>0.343631039531478</v>
      </c>
    </row>
    <row r="363" spans="1:5" ht="19.5" customHeight="1" x14ac:dyDescent="0.25">
      <c r="A363" s="32">
        <v>27</v>
      </c>
      <c r="B363" s="30" t="s">
        <v>81</v>
      </c>
      <c r="D363" s="34">
        <v>1052.1638776687801</v>
      </c>
      <c r="E363" s="34">
        <v>0.334407027818448</v>
      </c>
    </row>
    <row r="364" spans="1:5" ht="19.5" customHeight="1" x14ac:dyDescent="0.25">
      <c r="A364" s="32">
        <v>28</v>
      </c>
      <c r="B364" s="30" t="s">
        <v>82</v>
      </c>
      <c r="D364" s="34">
        <v>1077.55337564916</v>
      </c>
      <c r="E364" s="34">
        <v>0.32320644216691102</v>
      </c>
    </row>
    <row r="365" spans="1:5" ht="19.5" customHeight="1" x14ac:dyDescent="0.25">
      <c r="A365" s="32">
        <v>28</v>
      </c>
      <c r="B365" s="30" t="s">
        <v>82</v>
      </c>
      <c r="D365" s="34">
        <v>1147.72071552221</v>
      </c>
      <c r="E365" s="34">
        <v>0.33836017569546101</v>
      </c>
    </row>
    <row r="366" spans="1:5" ht="19.5" customHeight="1" x14ac:dyDescent="0.25">
      <c r="A366" s="32">
        <v>28</v>
      </c>
      <c r="B366" s="30" t="s">
        <v>82</v>
      </c>
      <c r="D366" s="34">
        <v>1204.96249278707</v>
      </c>
      <c r="E366" s="34">
        <v>0.33177159590043898</v>
      </c>
    </row>
    <row r="367" spans="1:5" ht="19.5" customHeight="1" x14ac:dyDescent="0.25">
      <c r="A367" s="32">
        <v>28</v>
      </c>
      <c r="B367" s="30" t="s">
        <v>82</v>
      </c>
      <c r="D367" s="34">
        <v>1301.9042123485201</v>
      </c>
      <c r="E367" s="34">
        <v>0.32781844802342502</v>
      </c>
    </row>
    <row r="368" spans="1:5" ht="19.5" customHeight="1" x14ac:dyDescent="0.25">
      <c r="A368" s="32">
        <v>29</v>
      </c>
      <c r="B368" s="30" t="s">
        <v>83</v>
      </c>
      <c r="D368" s="34">
        <v>1301.9042123485201</v>
      </c>
      <c r="E368" s="34">
        <v>0.32715959004392398</v>
      </c>
    </row>
    <row r="369" spans="1:5" ht="19.5" customHeight="1" x14ac:dyDescent="0.25">
      <c r="A369" s="32">
        <v>29</v>
      </c>
      <c r="B369" s="30" t="s">
        <v>83</v>
      </c>
      <c r="D369" s="34">
        <v>1204.96249278707</v>
      </c>
      <c r="E369" s="34">
        <v>0.33243045387994102</v>
      </c>
    </row>
    <row r="370" spans="1:5" ht="19.5" customHeight="1" x14ac:dyDescent="0.25">
      <c r="A370" s="32">
        <v>29</v>
      </c>
      <c r="B370" s="30" t="s">
        <v>83</v>
      </c>
      <c r="D370" s="34">
        <v>1146.7974610501999</v>
      </c>
      <c r="E370" s="34">
        <v>0.33770131771595802</v>
      </c>
    </row>
    <row r="371" spans="1:5" ht="19.5" customHeight="1" x14ac:dyDescent="0.25">
      <c r="A371" s="32">
        <v>29</v>
      </c>
      <c r="B371" s="30" t="s">
        <v>83</v>
      </c>
      <c r="D371" s="34">
        <v>1076.6301211771399</v>
      </c>
      <c r="E371" s="34">
        <v>0.31991215226939901</v>
      </c>
    </row>
    <row r="372" spans="1:5" ht="19.5" customHeight="1" x14ac:dyDescent="0.25">
      <c r="A372" s="32">
        <v>30</v>
      </c>
      <c r="B372" s="30" t="s">
        <v>84</v>
      </c>
      <c r="D372" s="34">
        <v>1052.1638776687801</v>
      </c>
      <c r="E372" s="34">
        <v>0.51822840409955995</v>
      </c>
    </row>
    <row r="373" spans="1:5" ht="19.5" customHeight="1" x14ac:dyDescent="0.25">
      <c r="A373" s="32">
        <v>30</v>
      </c>
      <c r="B373" s="30" t="s">
        <v>84</v>
      </c>
      <c r="D373" s="34">
        <v>1089.0940565493299</v>
      </c>
      <c r="E373" s="34">
        <v>0.56171303074670498</v>
      </c>
    </row>
    <row r="374" spans="1:5" ht="19.5" customHeight="1" x14ac:dyDescent="0.25">
      <c r="A374" s="32">
        <v>30</v>
      </c>
      <c r="B374" s="30" t="s">
        <v>84</v>
      </c>
      <c r="D374" s="34">
        <v>1117.71494518176</v>
      </c>
      <c r="E374" s="34">
        <v>0.58872620790629504</v>
      </c>
    </row>
    <row r="375" spans="1:5" ht="19.5" customHeight="1" x14ac:dyDescent="0.25">
      <c r="A375" s="32">
        <v>30</v>
      </c>
      <c r="B375" s="30" t="s">
        <v>84</v>
      </c>
      <c r="D375" s="34">
        <v>1127.40911713791</v>
      </c>
      <c r="E375" s="34">
        <v>0.59333821376281104</v>
      </c>
    </row>
    <row r="376" spans="1:5" ht="19.5" customHeight="1" x14ac:dyDescent="0.25">
      <c r="A376" s="32">
        <v>30</v>
      </c>
      <c r="B376" s="30" t="s">
        <v>84</v>
      </c>
      <c r="D376" s="34">
        <v>1157.41488747836</v>
      </c>
      <c r="E376" s="34">
        <v>0.61376281112737896</v>
      </c>
    </row>
    <row r="377" spans="1:5" ht="19.5" customHeight="1" x14ac:dyDescent="0.25">
      <c r="A377" s="32">
        <v>31</v>
      </c>
      <c r="B377" s="30" t="s">
        <v>85</v>
      </c>
      <c r="D377" s="34">
        <v>1057.24177726485</v>
      </c>
      <c r="E377" s="34">
        <v>0.71852122986822797</v>
      </c>
    </row>
    <row r="378" spans="1:5" ht="19.5" customHeight="1" x14ac:dyDescent="0.25">
      <c r="A378" s="32">
        <v>31</v>
      </c>
      <c r="B378" s="30" t="s">
        <v>85</v>
      </c>
      <c r="D378" s="34">
        <v>1108.0207732256199</v>
      </c>
      <c r="E378" s="34">
        <v>0.734333821376281</v>
      </c>
    </row>
    <row r="379" spans="1:5" ht="19.5" customHeight="1" x14ac:dyDescent="0.25">
      <c r="A379" s="32">
        <v>31</v>
      </c>
      <c r="B379" s="30" t="s">
        <v>85</v>
      </c>
      <c r="D379" s="34">
        <v>1162.0311598384301</v>
      </c>
      <c r="E379" s="34">
        <v>0.78638360175695399</v>
      </c>
    </row>
    <row r="380" spans="1:5" ht="19.5" customHeight="1" x14ac:dyDescent="0.25">
      <c r="A380" s="32">
        <v>31</v>
      </c>
      <c r="B380" s="30" t="s">
        <v>85</v>
      </c>
      <c r="D380" s="34">
        <v>1149.1055972302299</v>
      </c>
      <c r="E380" s="34">
        <v>0.80878477306002905</v>
      </c>
    </row>
    <row r="381" spans="1:5" ht="19.5" customHeight="1" x14ac:dyDescent="0.25">
      <c r="A381" s="32">
        <v>31</v>
      </c>
      <c r="B381" s="30" t="s">
        <v>85</v>
      </c>
      <c r="D381" s="34">
        <v>1192.49855741488</v>
      </c>
      <c r="E381" s="34">
        <v>0.87071742313323597</v>
      </c>
    </row>
    <row r="382" spans="1:5" ht="19.5" customHeight="1" x14ac:dyDescent="0.25">
      <c r="A382" s="32">
        <v>32</v>
      </c>
      <c r="B382" s="30" t="s">
        <v>86</v>
      </c>
      <c r="D382" s="34">
        <v>1054.01038661281</v>
      </c>
      <c r="E382" s="34">
        <v>0.99062957540263497</v>
      </c>
    </row>
    <row r="383" spans="1:5" ht="19.5" customHeight="1" x14ac:dyDescent="0.25">
      <c r="A383" s="32">
        <v>32</v>
      </c>
      <c r="B383" s="30" t="s">
        <v>86</v>
      </c>
      <c r="D383" s="34">
        <v>1061.8580496249201</v>
      </c>
      <c r="E383" s="34">
        <v>0.99128843338213701</v>
      </c>
    </row>
    <row r="384" spans="1:5" ht="19.5" customHeight="1" x14ac:dyDescent="0.25">
      <c r="A384" s="32">
        <v>32</v>
      </c>
      <c r="B384" s="30" t="s">
        <v>86</v>
      </c>
      <c r="D384" s="34">
        <v>1066.9359492210001</v>
      </c>
      <c r="E384" s="34">
        <v>1.0110541727672</v>
      </c>
    </row>
    <row r="385" spans="1:5" ht="19.5" customHeight="1" x14ac:dyDescent="0.25">
      <c r="A385" s="32">
        <v>32</v>
      </c>
      <c r="B385" s="30" t="s">
        <v>86</v>
      </c>
      <c r="D385" s="34">
        <v>1072.9371032890899</v>
      </c>
      <c r="E385" s="34">
        <v>1.03213762811127</v>
      </c>
    </row>
    <row r="386" spans="1:5" ht="19.5" customHeight="1" x14ac:dyDescent="0.25">
      <c r="A386" s="32">
        <v>32</v>
      </c>
      <c r="B386" s="30" t="s">
        <v>86</v>
      </c>
      <c r="D386" s="34">
        <v>1082.63127524523</v>
      </c>
      <c r="E386" s="34">
        <v>1.04992679355783</v>
      </c>
    </row>
    <row r="387" spans="1:5" ht="19.5" customHeight="1" x14ac:dyDescent="0.25">
      <c r="A387" s="32">
        <v>32</v>
      </c>
      <c r="B387" s="30" t="s">
        <v>86</v>
      </c>
      <c r="D387" s="34">
        <v>1092.32544720138</v>
      </c>
      <c r="E387" s="34">
        <v>1.06178623718887</v>
      </c>
    </row>
    <row r="388" spans="1:5" ht="19.5" customHeight="1" x14ac:dyDescent="0.25">
      <c r="A388" s="32">
        <v>33</v>
      </c>
      <c r="B388" s="30" t="s">
        <v>80</v>
      </c>
      <c r="D388" s="32">
        <v>1056</v>
      </c>
      <c r="E388" s="34">
        <v>0.38900000000000001</v>
      </c>
    </row>
    <row r="389" spans="1:5" ht="19.5" customHeight="1" x14ac:dyDescent="0.25">
      <c r="A389" s="32">
        <v>33</v>
      </c>
      <c r="B389" s="30" t="s">
        <v>80</v>
      </c>
      <c r="D389" s="32">
        <v>1057</v>
      </c>
      <c r="E389" s="34">
        <v>0.378</v>
      </c>
    </row>
    <row r="390" spans="1:5" ht="19.5" customHeight="1" x14ac:dyDescent="0.25">
      <c r="A390" s="32">
        <v>33</v>
      </c>
      <c r="B390" s="30" t="s">
        <v>80</v>
      </c>
      <c r="D390" s="32">
        <v>1057</v>
      </c>
      <c r="E390" s="34">
        <v>0.38300000000000001</v>
      </c>
    </row>
    <row r="391" spans="1:5" ht="19.5" customHeight="1" x14ac:dyDescent="0.25">
      <c r="A391" s="32">
        <v>33</v>
      </c>
      <c r="B391" s="30" t="s">
        <v>80</v>
      </c>
      <c r="D391" s="32">
        <v>1057</v>
      </c>
      <c r="E391" s="34">
        <v>0.38600000000000001</v>
      </c>
    </row>
    <row r="392" spans="1:5" ht="19.5" customHeight="1" x14ac:dyDescent="0.25">
      <c r="A392" s="32">
        <v>33</v>
      </c>
      <c r="B392" s="30" t="s">
        <v>80</v>
      </c>
      <c r="D392" s="32">
        <v>1058</v>
      </c>
      <c r="E392" s="34">
        <v>0.36199999999999999</v>
      </c>
    </row>
    <row r="393" spans="1:5" ht="19.5" customHeight="1" x14ac:dyDescent="0.25">
      <c r="A393" s="32">
        <v>33</v>
      </c>
      <c r="B393" s="30" t="s">
        <v>80</v>
      </c>
      <c r="D393" s="32">
        <v>1091</v>
      </c>
      <c r="E393" s="34">
        <v>0.36899999999999999</v>
      </c>
    </row>
    <row r="394" spans="1:5" ht="19.5" customHeight="1" x14ac:dyDescent="0.25">
      <c r="A394" s="32">
        <v>33</v>
      </c>
      <c r="B394" s="30" t="s">
        <v>80</v>
      </c>
      <c r="D394" s="32">
        <v>1091</v>
      </c>
      <c r="E394" s="34">
        <v>0.38200000000000001</v>
      </c>
    </row>
    <row r="395" spans="1:5" ht="19.5" customHeight="1" x14ac:dyDescent="0.25">
      <c r="A395" s="32">
        <v>33</v>
      </c>
      <c r="B395" s="30" t="s">
        <v>80</v>
      </c>
      <c r="D395" s="32">
        <v>1091</v>
      </c>
      <c r="E395" s="34">
        <v>0.36</v>
      </c>
    </row>
    <row r="396" spans="1:5" ht="19.5" customHeight="1" x14ac:dyDescent="0.25">
      <c r="A396" s="32">
        <v>33</v>
      </c>
      <c r="B396" s="30" t="s">
        <v>80</v>
      </c>
      <c r="D396" s="32">
        <v>1091</v>
      </c>
      <c r="E396" s="34">
        <v>0.38900000000000001</v>
      </c>
    </row>
    <row r="397" spans="1:5" ht="19.5" customHeight="1" x14ac:dyDescent="0.25">
      <c r="A397" s="32">
        <v>33</v>
      </c>
      <c r="B397" s="30" t="s">
        <v>80</v>
      </c>
      <c r="D397" s="32">
        <v>1104</v>
      </c>
      <c r="E397" s="34">
        <v>0.38500000000000001</v>
      </c>
    </row>
    <row r="398" spans="1:5" ht="19.5" customHeight="1" x14ac:dyDescent="0.25">
      <c r="A398" s="32">
        <v>33</v>
      </c>
      <c r="B398" s="30" t="s">
        <v>80</v>
      </c>
      <c r="D398" s="32">
        <v>1104</v>
      </c>
      <c r="E398" s="34">
        <v>0.374</v>
      </c>
    </row>
    <row r="399" spans="1:5" ht="19.5" customHeight="1" x14ac:dyDescent="0.25">
      <c r="A399" s="32">
        <v>33</v>
      </c>
      <c r="B399" s="30" t="s">
        <v>80</v>
      </c>
      <c r="D399" s="32">
        <v>1106</v>
      </c>
      <c r="E399" s="34">
        <v>0.38200000000000001</v>
      </c>
    </row>
    <row r="400" spans="1:5" ht="19.5" customHeight="1" x14ac:dyDescent="0.25">
      <c r="A400" s="32">
        <v>33</v>
      </c>
      <c r="B400" s="30" t="s">
        <v>80</v>
      </c>
      <c r="D400" s="32">
        <v>1106</v>
      </c>
      <c r="E400" s="34">
        <v>0.38500000000000001</v>
      </c>
    </row>
    <row r="401" spans="1:5" ht="19.5" customHeight="1" x14ac:dyDescent="0.25">
      <c r="A401" s="32">
        <v>33</v>
      </c>
      <c r="B401" s="30" t="s">
        <v>80</v>
      </c>
      <c r="D401" s="32">
        <v>1108</v>
      </c>
      <c r="E401" s="34">
        <v>0.38400000000000001</v>
      </c>
    </row>
    <row r="402" spans="1:5" ht="19.5" customHeight="1" x14ac:dyDescent="0.25">
      <c r="A402" s="32">
        <v>33</v>
      </c>
      <c r="B402" s="30" t="s">
        <v>80</v>
      </c>
      <c r="D402" s="32">
        <v>1150</v>
      </c>
      <c r="E402" s="34">
        <v>0.36399999999999999</v>
      </c>
    </row>
    <row r="403" spans="1:5" ht="19.5" customHeight="1" x14ac:dyDescent="0.25">
      <c r="A403" s="32">
        <v>33</v>
      </c>
      <c r="B403" s="30" t="s">
        <v>80</v>
      </c>
      <c r="D403" s="32">
        <v>1151</v>
      </c>
      <c r="E403" s="34">
        <v>0.35399999999999998</v>
      </c>
    </row>
    <row r="404" spans="1:5" ht="19.5" customHeight="1" x14ac:dyDescent="0.25">
      <c r="A404" s="32">
        <v>33</v>
      </c>
      <c r="B404" s="30" t="s">
        <v>80</v>
      </c>
      <c r="D404" s="32">
        <v>1152</v>
      </c>
      <c r="E404" s="34">
        <v>0.35099999999999998</v>
      </c>
    </row>
    <row r="405" spans="1:5" ht="19.5" customHeight="1" x14ac:dyDescent="0.25">
      <c r="A405" s="32">
        <v>33</v>
      </c>
      <c r="B405" s="30" t="s">
        <v>80</v>
      </c>
      <c r="D405" s="32">
        <v>1152</v>
      </c>
      <c r="E405" s="34">
        <v>0.34499999999999997</v>
      </c>
    </row>
    <row r="406" spans="1:5" ht="19.5" customHeight="1" x14ac:dyDescent="0.25">
      <c r="A406" s="32">
        <v>33</v>
      </c>
      <c r="B406" s="30" t="s">
        <v>80</v>
      </c>
      <c r="D406" s="32">
        <v>1155</v>
      </c>
      <c r="E406" s="34">
        <v>0.34499999999999997</v>
      </c>
    </row>
    <row r="407" spans="1:5" ht="19.5" customHeight="1" x14ac:dyDescent="0.25">
      <c r="A407" s="32">
        <v>33</v>
      </c>
      <c r="B407" s="30" t="s">
        <v>80</v>
      </c>
      <c r="D407" s="32">
        <v>1157</v>
      </c>
      <c r="E407" s="34">
        <v>0.374</v>
      </c>
    </row>
    <row r="408" spans="1:5" ht="19.5" customHeight="1" x14ac:dyDescent="0.25">
      <c r="A408" s="32">
        <v>33</v>
      </c>
      <c r="B408" s="30" t="s">
        <v>80</v>
      </c>
      <c r="D408" s="32">
        <v>1159</v>
      </c>
      <c r="E408" s="34">
        <v>0.36599999999999999</v>
      </c>
    </row>
    <row r="409" spans="1:5" ht="19.5" customHeight="1" x14ac:dyDescent="0.25">
      <c r="A409" s="32">
        <v>33</v>
      </c>
      <c r="B409" s="30" t="s">
        <v>80</v>
      </c>
      <c r="D409" s="32">
        <v>1160</v>
      </c>
      <c r="E409" s="34">
        <v>0.36599999999999999</v>
      </c>
    </row>
    <row r="410" spans="1:5" ht="19.5" customHeight="1" x14ac:dyDescent="0.25">
      <c r="A410" s="32">
        <v>33</v>
      </c>
      <c r="B410" s="30" t="s">
        <v>80</v>
      </c>
      <c r="D410" s="32">
        <v>1161</v>
      </c>
      <c r="E410" s="34">
        <v>0.35499999999999998</v>
      </c>
    </row>
    <row r="411" spans="1:5" ht="19.5" customHeight="1" x14ac:dyDescent="0.25">
      <c r="A411" s="32">
        <v>33</v>
      </c>
      <c r="B411" s="30" t="s">
        <v>80</v>
      </c>
      <c r="D411" s="32">
        <v>1162</v>
      </c>
      <c r="E411" s="34">
        <v>0.34499999999999997</v>
      </c>
    </row>
    <row r="412" spans="1:5" ht="19.5" customHeight="1" x14ac:dyDescent="0.25">
      <c r="A412" s="32">
        <v>33</v>
      </c>
      <c r="B412" s="30" t="s">
        <v>80</v>
      </c>
      <c r="D412" s="32">
        <v>1189</v>
      </c>
      <c r="E412" s="34">
        <v>0.36399999999999999</v>
      </c>
    </row>
    <row r="413" spans="1:5" ht="19.5" customHeight="1" x14ac:dyDescent="0.25">
      <c r="A413" s="32">
        <v>33</v>
      </c>
      <c r="B413" s="30" t="s">
        <v>80</v>
      </c>
      <c r="D413" s="32">
        <v>1190</v>
      </c>
      <c r="E413" s="34">
        <v>0.36899999999999999</v>
      </c>
    </row>
    <row r="414" spans="1:5" ht="19.5" customHeight="1" x14ac:dyDescent="0.25">
      <c r="A414" s="32">
        <v>33</v>
      </c>
      <c r="B414" s="30" t="s">
        <v>80</v>
      </c>
      <c r="D414" s="32">
        <v>1190</v>
      </c>
      <c r="E414" s="34">
        <v>0.36599999999999999</v>
      </c>
    </row>
    <row r="415" spans="1:5" ht="19.5" customHeight="1" x14ac:dyDescent="0.25">
      <c r="A415" s="32">
        <v>33</v>
      </c>
      <c r="B415" s="30" t="s">
        <v>80</v>
      </c>
      <c r="D415" s="32">
        <v>1191</v>
      </c>
      <c r="E415" s="34">
        <v>0.35799999999999998</v>
      </c>
    </row>
    <row r="416" spans="1:5" ht="19.5" customHeight="1" x14ac:dyDescent="0.25">
      <c r="A416" s="32">
        <v>33</v>
      </c>
      <c r="B416" s="30" t="s">
        <v>80</v>
      </c>
      <c r="D416" s="32">
        <v>1192</v>
      </c>
      <c r="E416" s="34">
        <v>0.35799999999999998</v>
      </c>
    </row>
    <row r="417" spans="1:5" ht="19.5" customHeight="1" x14ac:dyDescent="0.25">
      <c r="A417" s="32">
        <v>33</v>
      </c>
      <c r="B417" s="30" t="s">
        <v>80</v>
      </c>
      <c r="D417" s="32">
        <v>1196</v>
      </c>
      <c r="E417" s="34">
        <v>0.36599999999999999</v>
      </c>
    </row>
    <row r="418" spans="1:5" ht="19.5" customHeight="1" x14ac:dyDescent="0.25">
      <c r="A418" s="32">
        <v>33</v>
      </c>
      <c r="B418" s="30" t="s">
        <v>80</v>
      </c>
      <c r="D418" s="32">
        <v>1197</v>
      </c>
      <c r="E418" s="34">
        <v>0.35699999999999998</v>
      </c>
    </row>
    <row r="419" spans="1:5" ht="19.5" customHeight="1" x14ac:dyDescent="0.25">
      <c r="A419" s="32">
        <v>33</v>
      </c>
      <c r="B419" s="30" t="s">
        <v>80</v>
      </c>
      <c r="D419" s="32">
        <v>1198</v>
      </c>
      <c r="E419" s="34">
        <v>0.36299999999999999</v>
      </c>
    </row>
    <row r="420" spans="1:5" ht="19.5" customHeight="1" x14ac:dyDescent="0.25">
      <c r="A420" s="32">
        <v>33</v>
      </c>
      <c r="B420" s="30" t="s">
        <v>80</v>
      </c>
      <c r="D420" s="32">
        <v>1198</v>
      </c>
      <c r="E420" s="34">
        <v>0.38</v>
      </c>
    </row>
    <row r="421" spans="1:5" ht="19.5" customHeight="1" x14ac:dyDescent="0.25">
      <c r="A421" s="32">
        <v>33</v>
      </c>
      <c r="B421" s="30" t="s">
        <v>80</v>
      </c>
      <c r="D421" s="32">
        <v>1199</v>
      </c>
      <c r="E421" s="34">
        <v>0.35699999999999998</v>
      </c>
    </row>
    <row r="422" spans="1:5" ht="19.5" customHeight="1" x14ac:dyDescent="0.25">
      <c r="A422" s="32">
        <v>33</v>
      </c>
      <c r="B422" s="30" t="s">
        <v>80</v>
      </c>
      <c r="D422" s="32">
        <v>1245</v>
      </c>
      <c r="E422" s="34">
        <v>0.33500000000000002</v>
      </c>
    </row>
    <row r="423" spans="1:5" ht="19.5" customHeight="1" x14ac:dyDescent="0.25">
      <c r="A423" s="32">
        <v>33</v>
      </c>
      <c r="B423" s="30" t="s">
        <v>80</v>
      </c>
      <c r="D423" s="32">
        <v>1245</v>
      </c>
      <c r="E423" s="34">
        <v>0.34699999999999998</v>
      </c>
    </row>
    <row r="424" spans="1:5" ht="19.5" customHeight="1" x14ac:dyDescent="0.25">
      <c r="A424" s="32">
        <v>33</v>
      </c>
      <c r="B424" s="30" t="s">
        <v>80</v>
      </c>
      <c r="D424" s="32">
        <v>1246</v>
      </c>
      <c r="E424" s="34">
        <v>0.317</v>
      </c>
    </row>
    <row r="425" spans="1:5" ht="19.5" customHeight="1" x14ac:dyDescent="0.25">
      <c r="A425" s="32">
        <v>33</v>
      </c>
      <c r="B425" s="30" t="s">
        <v>80</v>
      </c>
      <c r="D425" s="32">
        <v>1247</v>
      </c>
      <c r="E425" s="34">
        <v>0.35599999999999998</v>
      </c>
    </row>
    <row r="426" spans="1:5" ht="19.5" customHeight="1" x14ac:dyDescent="0.25">
      <c r="A426" s="32">
        <v>33</v>
      </c>
      <c r="B426" s="30" t="s">
        <v>80</v>
      </c>
      <c r="D426" s="32">
        <v>1249</v>
      </c>
      <c r="E426" s="34">
        <v>0.34</v>
      </c>
    </row>
    <row r="427" spans="1:5" ht="19.5" customHeight="1" x14ac:dyDescent="0.25">
      <c r="A427" s="32">
        <v>33</v>
      </c>
      <c r="B427" s="30" t="s">
        <v>80</v>
      </c>
      <c r="D427" s="32">
        <v>1289</v>
      </c>
      <c r="E427" s="34">
        <v>0.35599999999999998</v>
      </c>
    </row>
    <row r="428" spans="1:5" ht="19.5" customHeight="1" x14ac:dyDescent="0.25">
      <c r="A428" s="32">
        <v>33</v>
      </c>
      <c r="B428" s="30" t="s">
        <v>80</v>
      </c>
      <c r="D428" s="32">
        <v>1291</v>
      </c>
      <c r="E428" s="34">
        <v>0.34899999999999998</v>
      </c>
    </row>
    <row r="429" spans="1:5" ht="19.5" customHeight="1" x14ac:dyDescent="0.25">
      <c r="A429" s="32">
        <v>33</v>
      </c>
      <c r="B429" s="30" t="s">
        <v>80</v>
      </c>
      <c r="D429" s="32">
        <v>1291</v>
      </c>
      <c r="E429" s="34">
        <v>0.35499999999999998</v>
      </c>
    </row>
    <row r="430" spans="1:5" ht="19.5" customHeight="1" x14ac:dyDescent="0.25">
      <c r="A430" s="32">
        <v>33</v>
      </c>
      <c r="B430" s="30" t="s">
        <v>80</v>
      </c>
      <c r="D430" s="32">
        <v>1297</v>
      </c>
      <c r="E430" s="34">
        <v>0.36399999999999999</v>
      </c>
    </row>
    <row r="431" spans="1:5" ht="19.5" customHeight="1" x14ac:dyDescent="0.25">
      <c r="A431" s="32">
        <v>33</v>
      </c>
      <c r="B431" s="30" t="s">
        <v>80</v>
      </c>
      <c r="D431" s="32">
        <v>1331</v>
      </c>
      <c r="E431" s="34">
        <v>0.32600000000000001</v>
      </c>
    </row>
    <row r="432" spans="1:5" ht="19.5" customHeight="1" x14ac:dyDescent="0.25">
      <c r="A432" s="32">
        <v>33</v>
      </c>
      <c r="B432" s="30" t="s">
        <v>80</v>
      </c>
      <c r="D432" s="32">
        <v>1335</v>
      </c>
      <c r="E432" s="34">
        <v>0.31</v>
      </c>
    </row>
    <row r="433" spans="1:5" ht="19.5" customHeight="1" x14ac:dyDescent="0.25">
      <c r="A433" s="32">
        <v>49</v>
      </c>
      <c r="B433" s="30" t="s">
        <v>115</v>
      </c>
      <c r="D433" s="32">
        <v>986.86210640607999</v>
      </c>
      <c r="E433" s="34">
        <v>1.01971830985915</v>
      </c>
    </row>
    <row r="434" spans="1:5" ht="19.5" customHeight="1" x14ac:dyDescent="0.25">
      <c r="A434" s="32">
        <v>49</v>
      </c>
      <c r="B434" s="30" t="s">
        <v>115</v>
      </c>
      <c r="D434" s="32">
        <v>1014.65798045602</v>
      </c>
      <c r="E434" s="34">
        <v>1.16901408450704</v>
      </c>
    </row>
    <row r="435" spans="1:5" ht="19.5" customHeight="1" x14ac:dyDescent="0.25">
      <c r="A435" s="32">
        <v>49</v>
      </c>
      <c r="B435" s="30" t="s">
        <v>115</v>
      </c>
      <c r="D435" s="32">
        <v>1019.86970684039</v>
      </c>
      <c r="E435" s="34">
        <v>1.2338028169013999</v>
      </c>
    </row>
    <row r="436" spans="1:5" ht="19.5" customHeight="1" x14ac:dyDescent="0.25">
      <c r="A436" s="32">
        <v>49</v>
      </c>
      <c r="B436" s="30" t="s">
        <v>115</v>
      </c>
      <c r="D436" s="32">
        <v>1038.1107491856601</v>
      </c>
      <c r="E436" s="34">
        <v>1.29295774647887</v>
      </c>
    </row>
    <row r="437" spans="1:5" ht="19.5" customHeight="1" x14ac:dyDescent="0.25">
      <c r="A437" s="32">
        <v>49</v>
      </c>
      <c r="B437" s="30" t="s">
        <v>115</v>
      </c>
      <c r="D437" s="32">
        <v>1056.3517915309401</v>
      </c>
      <c r="E437" s="34">
        <v>1.3802816901408399</v>
      </c>
    </row>
    <row r="438" spans="1:5" ht="19.5" customHeight="1" x14ac:dyDescent="0.25">
      <c r="A438" s="32">
        <v>49</v>
      </c>
      <c r="B438" s="30" t="s">
        <v>115</v>
      </c>
      <c r="D438" s="32">
        <v>1077.1986970684</v>
      </c>
      <c r="E438" s="34">
        <v>1.47887323943662</v>
      </c>
    </row>
    <row r="439" spans="1:5" ht="19.5" customHeight="1" x14ac:dyDescent="0.25">
      <c r="A439" s="32">
        <v>49</v>
      </c>
      <c r="B439" s="30" t="s">
        <v>115</v>
      </c>
      <c r="D439" s="32">
        <v>1093.70249728555</v>
      </c>
      <c r="E439" s="34">
        <v>1.55774647887323</v>
      </c>
    </row>
    <row r="440" spans="1:5" ht="19.5" customHeight="1" x14ac:dyDescent="0.25">
      <c r="A440" s="32">
        <v>50</v>
      </c>
      <c r="B440" s="30" t="s">
        <v>114</v>
      </c>
      <c r="D440" s="32">
        <v>986.86210640607999</v>
      </c>
      <c r="E440" s="34">
        <v>0.54366197183098597</v>
      </c>
    </row>
    <row r="441" spans="1:5" ht="19.5" customHeight="1" x14ac:dyDescent="0.25">
      <c r="A441" s="32">
        <v>50</v>
      </c>
      <c r="B441" s="30" t="s">
        <v>114</v>
      </c>
      <c r="D441" s="32">
        <v>1169.27252985884</v>
      </c>
      <c r="E441" s="34">
        <v>0.86760563380281697</v>
      </c>
    </row>
    <row r="442" spans="1:5" x14ac:dyDescent="0.25">
      <c r="A442" s="32">
        <v>34</v>
      </c>
      <c r="B442" s="30" t="s">
        <v>87</v>
      </c>
      <c r="C442" s="3"/>
      <c r="D442" s="34">
        <v>1212.573216394565</v>
      </c>
      <c r="E442" s="34">
        <v>1.5467320509003399</v>
      </c>
    </row>
    <row r="443" spans="1:5" x14ac:dyDescent="0.25">
      <c r="A443" s="32">
        <v>34</v>
      </c>
      <c r="B443" s="30" t="s">
        <v>87</v>
      </c>
      <c r="D443" s="32">
        <v>1223.4123532099288</v>
      </c>
      <c r="E443" s="34">
        <v>1.49986522649876</v>
      </c>
    </row>
    <row r="444" spans="1:5" x14ac:dyDescent="0.25">
      <c r="A444" s="32">
        <v>34</v>
      </c>
      <c r="B444" s="30" t="s">
        <v>87</v>
      </c>
      <c r="D444" s="32">
        <v>1236.3180170442961</v>
      </c>
      <c r="E444" s="34">
        <v>1.51415650286547</v>
      </c>
    </row>
    <row r="445" spans="1:5" x14ac:dyDescent="0.25">
      <c r="A445" s="32">
        <v>34</v>
      </c>
      <c r="B445" s="30" t="s">
        <v>87</v>
      </c>
      <c r="D445" s="32">
        <v>1239.9574007388751</v>
      </c>
      <c r="E445" s="34">
        <v>1.3801960469963099</v>
      </c>
    </row>
    <row r="446" spans="1:5" x14ac:dyDescent="0.25">
      <c r="A446" s="32">
        <v>34</v>
      </c>
      <c r="B446" s="30" t="s">
        <v>87</v>
      </c>
      <c r="D446" s="32">
        <v>1256.7239583535199</v>
      </c>
      <c r="E446" s="34">
        <v>1.4062980626088899</v>
      </c>
    </row>
    <row r="447" spans="1:5" x14ac:dyDescent="0.25">
      <c r="A447" s="32">
        <v>34</v>
      </c>
      <c r="B447" s="30" t="s">
        <v>87</v>
      </c>
      <c r="D447" s="34">
        <v>1265.7552216950689</v>
      </c>
      <c r="E447" s="34">
        <v>1.41818279514956</v>
      </c>
    </row>
    <row r="448" spans="1:5" x14ac:dyDescent="0.25">
      <c r="A448" s="32">
        <v>34</v>
      </c>
      <c r="B448" s="30" t="s">
        <v>87</v>
      </c>
      <c r="D448" s="32">
        <v>1276.11284420829</v>
      </c>
      <c r="E448" s="34">
        <v>1.40657553746439</v>
      </c>
    </row>
    <row r="449" spans="1:5" x14ac:dyDescent="0.25">
      <c r="A449" s="32">
        <v>34</v>
      </c>
      <c r="B449" s="30" t="s">
        <v>87</v>
      </c>
      <c r="D449" s="34">
        <v>1346.8049516489</v>
      </c>
      <c r="E449" s="34">
        <v>1.3864273394653801</v>
      </c>
    </row>
    <row r="450" spans="1:5" x14ac:dyDescent="0.25">
      <c r="A450" s="32">
        <v>34</v>
      </c>
      <c r="B450" s="30" t="s">
        <v>87</v>
      </c>
      <c r="D450" s="34">
        <v>1339.5174048965901</v>
      </c>
      <c r="E450" s="34">
        <v>1.36046097822659</v>
      </c>
    </row>
    <row r="451" spans="1:5" x14ac:dyDescent="0.25">
      <c r="A451" s="32">
        <v>34</v>
      </c>
      <c r="B451" s="30" t="s">
        <v>87</v>
      </c>
      <c r="D451" s="34">
        <v>1358.9434342108498</v>
      </c>
      <c r="E451" s="34">
        <v>1.3348769156775899</v>
      </c>
    </row>
    <row r="452" spans="1:5" x14ac:dyDescent="0.25">
      <c r="A452" s="32">
        <v>34</v>
      </c>
      <c r="B452" s="30" t="s">
        <v>87</v>
      </c>
      <c r="D452" s="34">
        <v>1340.9383110560598</v>
      </c>
      <c r="E452" s="34">
        <v>1.27113962006204</v>
      </c>
    </row>
    <row r="453" spans="1:5" x14ac:dyDescent="0.25">
      <c r="A453" s="32">
        <v>34</v>
      </c>
      <c r="B453" s="30" t="s">
        <v>87</v>
      </c>
      <c r="D453" s="34">
        <v>1350.0506146728699</v>
      </c>
      <c r="E453" s="34">
        <v>1.2265991800838201</v>
      </c>
    </row>
    <row r="454" spans="1:5" x14ac:dyDescent="0.25">
      <c r="A454" s="32">
        <v>34</v>
      </c>
      <c r="B454" s="30" t="s">
        <v>87</v>
      </c>
      <c r="D454" s="34">
        <v>1358.7388075158301</v>
      </c>
      <c r="E454" s="34">
        <v>1.17735047628779</v>
      </c>
    </row>
    <row r="455" spans="1:5" x14ac:dyDescent="0.25">
      <c r="A455" s="32">
        <v>34</v>
      </c>
      <c r="B455" s="30" t="s">
        <v>87</v>
      </c>
      <c r="D455" s="1">
        <v>1371.21698389823</v>
      </c>
      <c r="E455" s="1">
        <v>1.1892845376916501</v>
      </c>
    </row>
    <row r="456" spans="1:5" x14ac:dyDescent="0.25">
      <c r="A456" s="32">
        <v>34</v>
      </c>
      <c r="B456" s="30" t="s">
        <v>87</v>
      </c>
      <c r="D456" s="1">
        <v>1384.5467585064298</v>
      </c>
      <c r="E456" s="1">
        <v>1.2082840778761801</v>
      </c>
    </row>
    <row r="457" spans="1:5" x14ac:dyDescent="0.25">
      <c r="A457" s="32">
        <v>34</v>
      </c>
      <c r="B457" s="30" t="s">
        <v>87</v>
      </c>
      <c r="D457" s="1">
        <v>1395.27108826519</v>
      </c>
      <c r="E457" s="1">
        <v>1.24135291454303</v>
      </c>
    </row>
    <row r="458" spans="1:5" x14ac:dyDescent="0.25">
      <c r="A458" s="32">
        <v>34</v>
      </c>
      <c r="B458" s="30" t="s">
        <v>87</v>
      </c>
      <c r="D458" s="1">
        <v>1407.2339835640901</v>
      </c>
      <c r="E458" s="1">
        <v>1.3120570312128299</v>
      </c>
    </row>
    <row r="459" spans="1:5" x14ac:dyDescent="0.25">
      <c r="A459" s="32">
        <v>34</v>
      </c>
      <c r="B459" s="30" t="s">
        <v>87</v>
      </c>
      <c r="D459" s="1">
        <v>1412.94327095581</v>
      </c>
      <c r="E459" s="1">
        <v>1.23690362725701</v>
      </c>
    </row>
    <row r="460" spans="1:5" x14ac:dyDescent="0.25">
      <c r="A460" s="32">
        <v>34</v>
      </c>
      <c r="B460" s="30" t="s">
        <v>87</v>
      </c>
      <c r="D460" s="1">
        <v>1428.4948997772499</v>
      </c>
      <c r="E460" s="1">
        <v>1.2089130208819601</v>
      </c>
    </row>
    <row r="461" spans="1:5" x14ac:dyDescent="0.25">
      <c r="A461" s="32">
        <v>34</v>
      </c>
      <c r="B461" s="30" t="s">
        <v>87</v>
      </c>
      <c r="D461" s="1">
        <v>1428.8481003102402</v>
      </c>
      <c r="E461" s="1">
        <v>1.2629933106538</v>
      </c>
    </row>
    <row r="462" spans="1:5" x14ac:dyDescent="0.25">
      <c r="A462" s="32">
        <v>34</v>
      </c>
      <c r="B462" s="30" t="s">
        <v>87</v>
      </c>
      <c r="D462" s="1">
        <v>1440.9663228033801</v>
      </c>
      <c r="E462" s="1">
        <v>1.2255491799957301</v>
      </c>
    </row>
    <row r="463" spans="1:5" x14ac:dyDescent="0.25">
      <c r="A463" s="32">
        <v>34</v>
      </c>
      <c r="B463" s="30" t="s">
        <v>87</v>
      </c>
      <c r="D463" s="1">
        <v>1440.8683991374401</v>
      </c>
      <c r="E463" s="1">
        <v>1.29372959678939</v>
      </c>
    </row>
    <row r="464" spans="1:5" x14ac:dyDescent="0.25">
      <c r="A464" s="32">
        <v>34</v>
      </c>
      <c r="B464" s="30" t="s">
        <v>87</v>
      </c>
      <c r="D464" s="1">
        <v>1454.2386938832701</v>
      </c>
      <c r="E464" s="1">
        <v>1.28451655071447</v>
      </c>
    </row>
    <row r="465" spans="1:5" x14ac:dyDescent="0.25">
      <c r="A465" s="32">
        <v>34</v>
      </c>
      <c r="B465" s="30" t="s">
        <v>87</v>
      </c>
      <c r="D465" s="1">
        <v>1454.5952710943998</v>
      </c>
      <c r="E465" s="1">
        <v>1.3362457916313499</v>
      </c>
    </row>
    <row r="466" spans="1:5" x14ac:dyDescent="0.25">
      <c r="A466" s="32">
        <v>34</v>
      </c>
      <c r="B466" s="30" t="s">
        <v>87</v>
      </c>
      <c r="D466" s="1">
        <v>1470.1907967316101</v>
      </c>
      <c r="E466" s="1">
        <v>1.2776915501418999</v>
      </c>
    </row>
    <row r="467" spans="1:5" x14ac:dyDescent="0.25">
      <c r="A467" s="32">
        <v>34</v>
      </c>
      <c r="B467" s="30" t="s">
        <v>87</v>
      </c>
      <c r="D467" s="1">
        <v>1458.1738745825301</v>
      </c>
      <c r="E467" s="1">
        <v>1.2446042151513601</v>
      </c>
    </row>
    <row r="468" spans="1:5" x14ac:dyDescent="0.25">
      <c r="A468" s="32">
        <v>34</v>
      </c>
      <c r="B468" s="30" t="s">
        <v>87</v>
      </c>
      <c r="D468" s="1">
        <v>1459.96824134381</v>
      </c>
      <c r="E468" s="1">
        <v>1.1952568536289301</v>
      </c>
    </row>
    <row r="469" spans="1:5" x14ac:dyDescent="0.25">
      <c r="A469" s="32">
        <v>34</v>
      </c>
      <c r="B469" s="30" t="s">
        <v>87</v>
      </c>
      <c r="D469" s="1">
        <v>1448.40582007179</v>
      </c>
      <c r="E469" s="1">
        <v>1.1457183427616</v>
      </c>
    </row>
    <row r="470" spans="1:5" x14ac:dyDescent="0.25">
      <c r="A470" s="32">
        <v>34</v>
      </c>
      <c r="B470" s="30" t="s">
        <v>87</v>
      </c>
      <c r="D470" s="1">
        <v>1557.4434844205898</v>
      </c>
      <c r="E470" s="1">
        <v>1.4270593479076601</v>
      </c>
    </row>
    <row r="471" spans="1:5" x14ac:dyDescent="0.25">
      <c r="A471" s="32">
        <v>34</v>
      </c>
      <c r="B471" s="30" t="s">
        <v>87</v>
      </c>
      <c r="D471" s="1">
        <v>1569.4536532133898</v>
      </c>
      <c r="E471" s="1">
        <v>1.4648487806081201</v>
      </c>
    </row>
    <row r="472" spans="1:5" x14ac:dyDescent="0.25">
      <c r="A472" s="32">
        <v>34</v>
      </c>
      <c r="B472" s="30" t="s">
        <v>87</v>
      </c>
      <c r="D472" s="1">
        <v>1577.2801177961499</v>
      </c>
      <c r="E472" s="1">
        <v>1.4155877445962799</v>
      </c>
    </row>
    <row r="473" spans="1:5" x14ac:dyDescent="0.25">
      <c r="A473" s="32">
        <v>34</v>
      </c>
      <c r="B473" s="30" t="s">
        <v>87</v>
      </c>
      <c r="D473" s="1">
        <v>1579.7977690140699</v>
      </c>
      <c r="E473" s="1">
        <v>1.4626457183427599</v>
      </c>
    </row>
    <row r="474" spans="1:5" x14ac:dyDescent="0.25">
      <c r="A474" s="32">
        <v>34</v>
      </c>
      <c r="B474" s="30" t="s">
        <v>87</v>
      </c>
      <c r="D474" s="1">
        <v>1581.45369197178</v>
      </c>
      <c r="E474" s="1">
        <v>1.5096913598734301</v>
      </c>
    </row>
    <row r="475" spans="1:5" x14ac:dyDescent="0.25">
      <c r="A475" s="32">
        <v>34</v>
      </c>
      <c r="B475" s="30" t="s">
        <v>87</v>
      </c>
      <c r="D475" s="1">
        <v>1590.9934830405598</v>
      </c>
      <c r="E475" s="1">
        <v>1.4675081348580601</v>
      </c>
    </row>
    <row r="476" spans="1:5" x14ac:dyDescent="0.25">
      <c r="A476" s="32">
        <v>34</v>
      </c>
      <c r="B476" s="30" t="s">
        <v>87</v>
      </c>
      <c r="D476" s="1">
        <v>1597.06610099967</v>
      </c>
      <c r="E476" s="1">
        <v>1.4393818741092099</v>
      </c>
    </row>
    <row r="477" spans="1:5" x14ac:dyDescent="0.25">
      <c r="A477" s="32">
        <v>34</v>
      </c>
      <c r="B477" s="30" t="s">
        <v>87</v>
      </c>
      <c r="D477" s="1">
        <v>1604.7304850319199</v>
      </c>
      <c r="E477" s="1">
        <v>1.50297118313516</v>
      </c>
    </row>
    <row r="478" spans="1:5" x14ac:dyDescent="0.25">
      <c r="A478" s="32">
        <v>34</v>
      </c>
      <c r="B478" s="30" t="s">
        <v>87</v>
      </c>
      <c r="D478" s="1">
        <v>1627.4663342547199</v>
      </c>
      <c r="E478" s="1">
        <v>1.2728890329604901</v>
      </c>
    </row>
    <row r="479" spans="1:5" x14ac:dyDescent="0.25">
      <c r="A479" s="32">
        <v>34</v>
      </c>
      <c r="B479" s="30" t="s">
        <v>87</v>
      </c>
      <c r="D479" s="1">
        <v>1644.7616796653999</v>
      </c>
      <c r="E479" s="1">
        <v>1.2308167978873099</v>
      </c>
    </row>
    <row r="480" spans="1:5" x14ac:dyDescent="0.25">
      <c r="A480" s="32">
        <v>34</v>
      </c>
      <c r="B480" s="30" t="s">
        <v>87</v>
      </c>
      <c r="D480" s="1">
        <v>1663.7129480338001</v>
      </c>
      <c r="E480" s="1">
        <v>1.2357902043448099</v>
      </c>
    </row>
    <row r="481" spans="1:10" x14ac:dyDescent="0.25">
      <c r="A481" s="32">
        <v>34</v>
      </c>
      <c r="B481" s="30" t="s">
        <v>87</v>
      </c>
      <c r="D481" s="1">
        <v>1736.6188056601302</v>
      </c>
      <c r="E481" s="1">
        <v>1.4742943770381201</v>
      </c>
    </row>
    <row r="482" spans="1:10" x14ac:dyDescent="0.25">
      <c r="A482" s="32">
        <v>34</v>
      </c>
      <c r="B482" s="30" t="s">
        <v>87</v>
      </c>
      <c r="D482" s="1">
        <v>1732.0380041013398</v>
      </c>
      <c r="E482" s="1">
        <v>1.36372725366839</v>
      </c>
    </row>
    <row r="483" spans="1:10" x14ac:dyDescent="0.25">
      <c r="A483" s="32">
        <v>34</v>
      </c>
      <c r="B483" s="30" t="s">
        <v>87</v>
      </c>
      <c r="D483" s="1">
        <v>1751.0432993198999</v>
      </c>
      <c r="E483" s="1">
        <v>1.3310838784466299</v>
      </c>
    </row>
    <row r="484" spans="1:10" x14ac:dyDescent="0.25">
      <c r="A484" s="32">
        <v>34</v>
      </c>
      <c r="B484" s="30" t="s">
        <v>87</v>
      </c>
      <c r="D484" s="1">
        <v>1760.4480232632498</v>
      </c>
      <c r="E484" s="1">
        <v>1.38294260762941</v>
      </c>
    </row>
    <row r="485" spans="1:10" x14ac:dyDescent="0.25">
      <c r="A485" s="32">
        <v>34</v>
      </c>
      <c r="B485" s="30" t="s">
        <v>87</v>
      </c>
      <c r="D485" s="1">
        <v>1973.8878482162602</v>
      </c>
      <c r="E485" s="1">
        <v>1.27314448600205</v>
      </c>
    </row>
    <row r="486" spans="1:10" x14ac:dyDescent="0.25">
      <c r="A486" s="32">
        <v>34</v>
      </c>
      <c r="B486" s="30" t="s">
        <v>87</v>
      </c>
      <c r="D486" s="1">
        <v>1984.57503451552</v>
      </c>
      <c r="E486" s="1">
        <v>1.33207486007339</v>
      </c>
    </row>
    <row r="487" spans="1:10" x14ac:dyDescent="0.25">
      <c r="A487" s="32">
        <v>34</v>
      </c>
      <c r="B487" s="30" t="s">
        <v>87</v>
      </c>
      <c r="D487" s="1">
        <v>1992.67703603414</v>
      </c>
      <c r="E487" s="1">
        <v>1.39096823749733</v>
      </c>
    </row>
    <row r="488" spans="1:10" x14ac:dyDescent="0.25">
      <c r="A488" s="32">
        <v>34</v>
      </c>
      <c r="B488" s="30" t="s">
        <v>87</v>
      </c>
      <c r="D488" s="1">
        <v>1994.77395315637</v>
      </c>
      <c r="E488" s="1">
        <v>1.43096689857105</v>
      </c>
    </row>
    <row r="489" spans="1:10" x14ac:dyDescent="0.25">
      <c r="A489" s="32">
        <v>34</v>
      </c>
      <c r="B489" s="30" t="s">
        <v>87</v>
      </c>
      <c r="D489" s="1">
        <v>1996.8472335316399</v>
      </c>
      <c r="E489" s="1">
        <v>1.48742290162944</v>
      </c>
    </row>
    <row r="490" spans="1:10" x14ac:dyDescent="0.25">
      <c r="A490" s="32">
        <v>34</v>
      </c>
      <c r="B490" s="30" t="s">
        <v>87</v>
      </c>
      <c r="D490" s="1">
        <v>2005.6097132936</v>
      </c>
      <c r="E490" s="1">
        <v>1.3864511230244201</v>
      </c>
    </row>
    <row r="491" spans="1:10" x14ac:dyDescent="0.25">
      <c r="A491" s="32">
        <v>34</v>
      </c>
      <c r="B491" s="30" t="s">
        <v>87</v>
      </c>
      <c r="D491" s="1">
        <v>2019.4412622727498</v>
      </c>
      <c r="E491" s="1">
        <v>1.3560848033628199</v>
      </c>
    </row>
    <row r="492" spans="1:10" x14ac:dyDescent="0.25">
      <c r="A492" s="32">
        <v>34</v>
      </c>
      <c r="B492" s="30" t="s">
        <v>87</v>
      </c>
      <c r="D492" s="1">
        <v>2209.04376559511</v>
      </c>
      <c r="E492" s="1">
        <v>1.6432809683960501</v>
      </c>
    </row>
    <row r="493" spans="1:10" x14ac:dyDescent="0.25">
      <c r="A493" s="32">
        <v>34</v>
      </c>
      <c r="B493" s="30" t="s">
        <v>87</v>
      </c>
      <c r="D493" s="1">
        <v>2225.8609733817902</v>
      </c>
      <c r="E493" s="1">
        <v>1.63411725118433</v>
      </c>
    </row>
    <row r="494" spans="1:10" x14ac:dyDescent="0.25">
      <c r="A494" s="32">
        <v>34</v>
      </c>
      <c r="B494" s="30" t="s">
        <v>87</v>
      </c>
      <c r="D494" s="1">
        <v>2220.7817741301797</v>
      </c>
      <c r="E494" s="1">
        <v>1.5705649388057801</v>
      </c>
    </row>
    <row r="495" spans="1:10" x14ac:dyDescent="0.25">
      <c r="A495" s="32">
        <v>34</v>
      </c>
      <c r="B495" s="30" t="s">
        <v>87</v>
      </c>
      <c r="D495" s="1">
        <v>2233.7786082742095</v>
      </c>
      <c r="E495" s="1">
        <v>1.5213778960887501</v>
      </c>
    </row>
    <row r="496" spans="1:10" x14ac:dyDescent="0.25">
      <c r="A496" s="32">
        <v>34</v>
      </c>
      <c r="B496" s="30" t="s">
        <v>87</v>
      </c>
      <c r="D496" s="1">
        <v>2243.17995553942</v>
      </c>
      <c r="E496" s="1">
        <v>1.57558767412648</v>
      </c>
      <c r="J496" t="s">
        <v>88</v>
      </c>
    </row>
    <row r="497" spans="1:10" x14ac:dyDescent="0.25">
      <c r="A497" s="2">
        <v>35</v>
      </c>
      <c r="B497" s="30" t="s">
        <v>79</v>
      </c>
      <c r="D497" s="1">
        <v>1151.0185516430699</v>
      </c>
      <c r="E497" s="1">
        <v>1.38446363775744</v>
      </c>
      <c r="J497" s="3">
        <v>1.5</v>
      </c>
    </row>
    <row r="498" spans="1:10" x14ac:dyDescent="0.25">
      <c r="A498" s="2">
        <v>35</v>
      </c>
      <c r="B498" s="30" t="s">
        <v>79</v>
      </c>
      <c r="D498" s="1">
        <v>1151.4524454438499</v>
      </c>
      <c r="E498" s="1">
        <v>1.2285071804568899</v>
      </c>
      <c r="J498" s="3">
        <v>2</v>
      </c>
    </row>
    <row r="499" spans="1:10" x14ac:dyDescent="0.25">
      <c r="A499" s="2">
        <v>35</v>
      </c>
      <c r="B499" s="30" t="s">
        <v>79</v>
      </c>
      <c r="D499" s="1">
        <v>1169.93049522154</v>
      </c>
      <c r="E499" s="1">
        <v>1.316467521848</v>
      </c>
      <c r="J499" s="3">
        <v>2</v>
      </c>
    </row>
    <row r="500" spans="1:10" x14ac:dyDescent="0.25">
      <c r="A500" s="2">
        <v>35</v>
      </c>
      <c r="B500" s="30" t="s">
        <v>79</v>
      </c>
      <c r="D500" s="1">
        <v>1194.7866305514301</v>
      </c>
      <c r="E500" s="1">
        <v>1.02796545203659</v>
      </c>
      <c r="J500" s="3">
        <v>2</v>
      </c>
    </row>
    <row r="501" spans="1:10" x14ac:dyDescent="0.25">
      <c r="A501" s="2">
        <v>35</v>
      </c>
      <c r="B501" s="30" t="s">
        <v>79</v>
      </c>
      <c r="D501" s="1">
        <v>1239.1552103030599</v>
      </c>
      <c r="E501" s="1">
        <v>1.4495487300045899</v>
      </c>
      <c r="J501" s="3">
        <v>2</v>
      </c>
    </row>
    <row r="502" spans="1:10" x14ac:dyDescent="0.25">
      <c r="A502" s="2">
        <v>35</v>
      </c>
      <c r="B502" s="30" t="s">
        <v>79</v>
      </c>
      <c r="D502" s="1">
        <v>1207.8627280625501</v>
      </c>
      <c r="E502" s="1">
        <v>1.43156743496703</v>
      </c>
      <c r="J502" s="3">
        <v>2.5</v>
      </c>
    </row>
    <row r="503" spans="1:10" x14ac:dyDescent="0.25">
      <c r="A503" s="2">
        <v>35</v>
      </c>
      <c r="B503" s="30" t="s">
        <v>79</v>
      </c>
      <c r="D503" s="1">
        <v>1225.69888076864</v>
      </c>
      <c r="E503" s="1">
        <v>1.28777431389584</v>
      </c>
      <c r="J503" s="3">
        <v>2.5</v>
      </c>
    </row>
    <row r="504" spans="1:10" x14ac:dyDescent="0.25">
      <c r="A504" s="2">
        <v>35</v>
      </c>
      <c r="B504" s="30" t="s">
        <v>79</v>
      </c>
      <c r="D504" s="1">
        <v>1276.5620687892799</v>
      </c>
      <c r="E504" s="1">
        <v>1.41878673276434</v>
      </c>
      <c r="J504" s="3">
        <v>2.5</v>
      </c>
    </row>
    <row r="505" spans="1:10" x14ac:dyDescent="0.25">
      <c r="A505" s="2">
        <v>35</v>
      </c>
      <c r="B505" s="30" t="s">
        <v>79</v>
      </c>
      <c r="D505" s="1">
        <v>1314.06909592681</v>
      </c>
      <c r="E505" s="1">
        <v>1.16431747329687</v>
      </c>
      <c r="J505" s="3">
        <v>2.5</v>
      </c>
    </row>
    <row r="506" spans="1:10" x14ac:dyDescent="0.25">
      <c r="A506" s="2">
        <v>35</v>
      </c>
      <c r="B506" s="30" t="s">
        <v>79</v>
      </c>
      <c r="D506" s="1">
        <v>1372.22721929779</v>
      </c>
      <c r="E506" s="1">
        <v>1.2157510093524799</v>
      </c>
      <c r="J506" s="3">
        <v>2.5</v>
      </c>
    </row>
    <row r="507" spans="1:10" x14ac:dyDescent="0.25">
      <c r="A507" s="2">
        <v>36</v>
      </c>
      <c r="B507" s="30" t="s">
        <v>89</v>
      </c>
      <c r="D507" s="1">
        <v>1135.3949129852699</v>
      </c>
      <c r="E507" s="1">
        <v>1.3532816924870901</v>
      </c>
    </row>
    <row r="508" spans="1:10" x14ac:dyDescent="0.25">
      <c r="A508" s="2">
        <v>36</v>
      </c>
      <c r="B508" s="30" t="s">
        <v>89</v>
      </c>
      <c r="D508" s="1">
        <v>1131.7135207496599</v>
      </c>
      <c r="E508" s="1">
        <v>1.4586977344661001</v>
      </c>
    </row>
    <row r="509" spans="1:10" x14ac:dyDescent="0.25">
      <c r="A509" s="2">
        <v>36</v>
      </c>
      <c r="B509" s="30" t="s">
        <v>89</v>
      </c>
      <c r="D509" s="1">
        <v>1182.2489959839299</v>
      </c>
      <c r="E509" s="1">
        <v>1.4287647842745299</v>
      </c>
    </row>
    <row r="510" spans="1:10" x14ac:dyDescent="0.25">
      <c r="A510" s="2">
        <v>36</v>
      </c>
      <c r="B510" s="30" t="s">
        <v>89</v>
      </c>
      <c r="D510" s="1">
        <v>1160.8299866131099</v>
      </c>
      <c r="E510" s="1">
        <v>1.4430805430617999</v>
      </c>
    </row>
    <row r="511" spans="1:10" x14ac:dyDescent="0.25">
      <c r="A511" s="2">
        <v>36</v>
      </c>
      <c r="B511" s="30" t="s">
        <v>89</v>
      </c>
      <c r="D511" s="1">
        <v>1149.11646586345</v>
      </c>
      <c r="E511" s="1">
        <v>1.4730134932533701</v>
      </c>
    </row>
    <row r="512" spans="1:10" x14ac:dyDescent="0.25">
      <c r="A512" s="2">
        <v>36</v>
      </c>
      <c r="B512" s="30" t="s">
        <v>89</v>
      </c>
      <c r="D512" s="1">
        <v>1155.1405622489899</v>
      </c>
      <c r="E512" s="1">
        <v>1.4964392803598201</v>
      </c>
    </row>
    <row r="513" spans="1:5" x14ac:dyDescent="0.25">
      <c r="A513" s="2">
        <v>36</v>
      </c>
      <c r="B513" s="30" t="s">
        <v>89</v>
      </c>
      <c r="D513" s="1">
        <v>1162.8380187416301</v>
      </c>
      <c r="E513" s="1">
        <v>1.52767366316841</v>
      </c>
    </row>
    <row r="514" spans="1:5" x14ac:dyDescent="0.25">
      <c r="A514" s="2">
        <v>36</v>
      </c>
      <c r="B514" s="30" t="s">
        <v>89</v>
      </c>
      <c r="D514" s="1">
        <v>1188.2730923694701</v>
      </c>
      <c r="E514" s="1">
        <v>1.52767366316841</v>
      </c>
    </row>
    <row r="515" spans="1:5" x14ac:dyDescent="0.25">
      <c r="A515" s="2">
        <v>36</v>
      </c>
      <c r="B515" s="30" t="s">
        <v>89</v>
      </c>
      <c r="D515" s="1">
        <v>1192.2891566265</v>
      </c>
      <c r="E515" s="1">
        <v>1.61877394636015</v>
      </c>
    </row>
    <row r="516" spans="1:5" x14ac:dyDescent="0.25">
      <c r="A516" s="2">
        <v>36</v>
      </c>
      <c r="B516" s="30" t="s">
        <v>89</v>
      </c>
      <c r="D516" s="1">
        <v>1209.6921017402899</v>
      </c>
      <c r="E516" s="1">
        <v>1.5888409961685801</v>
      </c>
    </row>
    <row r="517" spans="1:5" x14ac:dyDescent="0.25">
      <c r="A517" s="2">
        <v>36</v>
      </c>
      <c r="B517" s="30" t="s">
        <v>89</v>
      </c>
      <c r="D517" s="1">
        <v>1215.71619812583</v>
      </c>
      <c r="E517" s="1">
        <v>1.6942570381475901</v>
      </c>
    </row>
    <row r="518" spans="1:5" x14ac:dyDescent="0.25">
      <c r="A518" s="2">
        <v>36</v>
      </c>
      <c r="B518" s="30" t="s">
        <v>89</v>
      </c>
      <c r="D518" s="1">
        <v>1233.1191432396199</v>
      </c>
      <c r="E518" s="1">
        <v>1.6799412793603199</v>
      </c>
    </row>
    <row r="519" spans="1:5" x14ac:dyDescent="0.25">
      <c r="A519" s="2">
        <v>37</v>
      </c>
      <c r="B519" s="30" t="s">
        <v>90</v>
      </c>
      <c r="D519" s="1">
        <v>1184.5917001338601</v>
      </c>
      <c r="E519" s="1">
        <v>1.8764576045310599</v>
      </c>
    </row>
    <row r="520" spans="1:5" x14ac:dyDescent="0.25">
      <c r="A520" s="2">
        <v>37</v>
      </c>
      <c r="B520" s="30" t="s">
        <v>90</v>
      </c>
      <c r="D520" s="1">
        <v>1201.3253012048101</v>
      </c>
      <c r="E520" s="1">
        <v>1.8777590371480899</v>
      </c>
    </row>
    <row r="521" spans="1:5" x14ac:dyDescent="0.25">
      <c r="A521" s="2">
        <v>37</v>
      </c>
      <c r="B521" s="30" t="s">
        <v>90</v>
      </c>
      <c r="D521" s="1">
        <v>1207.6840696117799</v>
      </c>
      <c r="E521" s="1">
        <v>1.8230988672330499</v>
      </c>
    </row>
    <row r="522" spans="1:5" x14ac:dyDescent="0.25">
      <c r="A522" s="2">
        <v>37</v>
      </c>
      <c r="B522" s="30" t="s">
        <v>90</v>
      </c>
      <c r="D522" s="1">
        <v>1225.08701472556</v>
      </c>
      <c r="E522" s="1">
        <v>1.85823754789272</v>
      </c>
    </row>
    <row r="523" spans="1:5" x14ac:dyDescent="0.25">
      <c r="A523" s="2">
        <v>37</v>
      </c>
      <c r="B523" s="30" t="s">
        <v>90</v>
      </c>
      <c r="D523" s="1">
        <v>1223.7483266398899</v>
      </c>
      <c r="E523" s="1">
        <v>1.8387160586373399</v>
      </c>
    </row>
    <row r="524" spans="1:5" x14ac:dyDescent="0.25">
      <c r="A524" s="2">
        <v>37</v>
      </c>
      <c r="B524" s="30" t="s">
        <v>90</v>
      </c>
      <c r="D524" s="1">
        <v>1242.4899598393499</v>
      </c>
      <c r="E524" s="1">
        <v>1.80748167582875</v>
      </c>
    </row>
    <row r="525" spans="1:5" x14ac:dyDescent="0.25">
      <c r="A525" s="2">
        <v>37</v>
      </c>
      <c r="B525" s="30" t="s">
        <v>90</v>
      </c>
      <c r="D525" s="1">
        <v>1250.52208835341</v>
      </c>
      <c r="E525" s="1">
        <v>1.8374146260203199</v>
      </c>
    </row>
    <row r="526" spans="1:5" x14ac:dyDescent="0.25">
      <c r="A526" s="2">
        <v>37</v>
      </c>
      <c r="B526" s="30" t="s">
        <v>90</v>
      </c>
      <c r="D526" s="1">
        <v>1295.3681392235601</v>
      </c>
      <c r="E526" s="1">
        <v>1.8634432783608199</v>
      </c>
    </row>
    <row r="527" spans="1:5" x14ac:dyDescent="0.25">
      <c r="A527" s="2">
        <v>37</v>
      </c>
      <c r="B527" s="30" t="s">
        <v>90</v>
      </c>
      <c r="D527" s="1">
        <v>1287.6706827309199</v>
      </c>
      <c r="E527" s="1">
        <v>1.8361131934032899</v>
      </c>
    </row>
    <row r="528" spans="1:5" x14ac:dyDescent="0.25">
      <c r="A528" s="2">
        <v>37</v>
      </c>
      <c r="B528" s="30" t="s">
        <v>90</v>
      </c>
      <c r="D528" s="1">
        <v>1288.0053547523401</v>
      </c>
      <c r="E528" s="1">
        <v>1.79316591704147</v>
      </c>
    </row>
    <row r="529" spans="1:5" x14ac:dyDescent="0.25">
      <c r="A529" s="2">
        <v>37</v>
      </c>
      <c r="B529" s="30" t="s">
        <v>90</v>
      </c>
      <c r="D529" s="1">
        <v>1328.50066934404</v>
      </c>
      <c r="E529" s="1">
        <v>1.77754872563718</v>
      </c>
    </row>
    <row r="530" spans="1:5" x14ac:dyDescent="0.25">
      <c r="A530" s="2">
        <v>37</v>
      </c>
      <c r="B530" s="30" t="s">
        <v>90</v>
      </c>
      <c r="D530" s="1">
        <v>1352.26238286479</v>
      </c>
      <c r="E530" s="1">
        <v>1.8100845410627999</v>
      </c>
    </row>
    <row r="531" spans="1:5" x14ac:dyDescent="0.25">
      <c r="A531" s="2">
        <v>37</v>
      </c>
      <c r="B531" s="30" t="s">
        <v>90</v>
      </c>
      <c r="D531" s="1">
        <v>1359.9598393574199</v>
      </c>
      <c r="E531" s="1">
        <v>1.8374146260203199</v>
      </c>
    </row>
    <row r="532" spans="1:5" x14ac:dyDescent="0.25">
      <c r="A532" s="2">
        <v>37</v>
      </c>
      <c r="B532" s="30" t="s">
        <v>90</v>
      </c>
      <c r="D532" s="1">
        <v>1417.18875502008</v>
      </c>
      <c r="E532" s="1">
        <v>1.9597492920206501</v>
      </c>
    </row>
    <row r="533" spans="1:5" x14ac:dyDescent="0.25">
      <c r="A533" s="2">
        <v>38</v>
      </c>
      <c r="B533" s="30" t="s">
        <v>92</v>
      </c>
      <c r="D533">
        <v>1121.2</v>
      </c>
      <c r="E533" s="1">
        <v>1.0810717862622576</v>
      </c>
    </row>
    <row r="534" spans="1:5" x14ac:dyDescent="0.25">
      <c r="A534" s="2">
        <v>38</v>
      </c>
      <c r="B534" s="30" t="s">
        <v>92</v>
      </c>
      <c r="D534">
        <f t="shared" ref="D534:D539" si="0">D533+25</f>
        <v>1146.2</v>
      </c>
      <c r="E534" s="1">
        <v>1.0936645288211064</v>
      </c>
    </row>
    <row r="535" spans="1:5" x14ac:dyDescent="0.25">
      <c r="A535" s="2">
        <v>38</v>
      </c>
      <c r="B535" s="30" t="s">
        <v>92</v>
      </c>
      <c r="D535">
        <f t="shared" si="0"/>
        <v>1171.2</v>
      </c>
      <c r="E535" s="1">
        <v>1.106257271379955</v>
      </c>
    </row>
    <row r="536" spans="1:5" x14ac:dyDescent="0.25">
      <c r="A536" s="2">
        <v>38</v>
      </c>
      <c r="B536" s="30" t="s">
        <v>92</v>
      </c>
      <c r="D536">
        <f t="shared" si="0"/>
        <v>1196.2</v>
      </c>
      <c r="E536" s="1">
        <v>1.1188500139388036</v>
      </c>
    </row>
    <row r="537" spans="1:5" x14ac:dyDescent="0.25">
      <c r="A537" s="2">
        <v>38</v>
      </c>
      <c r="B537" s="30" t="s">
        <v>92</v>
      </c>
      <c r="D537">
        <f t="shared" si="0"/>
        <v>1221.2</v>
      </c>
      <c r="E537" s="1">
        <v>1.1314427564976524</v>
      </c>
    </row>
    <row r="538" spans="1:5" x14ac:dyDescent="0.25">
      <c r="A538" s="2">
        <v>38</v>
      </c>
      <c r="B538" s="30" t="s">
        <v>92</v>
      </c>
      <c r="D538">
        <f t="shared" si="0"/>
        <v>1246.2</v>
      </c>
      <c r="E538" s="1">
        <v>1.1440354990565009</v>
      </c>
    </row>
    <row r="539" spans="1:5" x14ac:dyDescent="0.25">
      <c r="A539" s="2">
        <v>38</v>
      </c>
      <c r="B539" s="30" t="s">
        <v>92</v>
      </c>
      <c r="D539">
        <f t="shared" si="0"/>
        <v>1271.2</v>
      </c>
      <c r="E539" s="1">
        <v>1.1566282416153495</v>
      </c>
    </row>
    <row r="540" spans="1:5" x14ac:dyDescent="0.25">
      <c r="A540" s="2">
        <v>39</v>
      </c>
      <c r="B540" s="30" t="s">
        <v>103</v>
      </c>
      <c r="D540" s="1">
        <v>1276.21082621082</v>
      </c>
      <c r="E540" s="1">
        <v>1.1578947368421</v>
      </c>
    </row>
    <row r="541" spans="1:5" x14ac:dyDescent="0.25">
      <c r="A541" s="2">
        <v>39</v>
      </c>
      <c r="B541" s="30" t="s">
        <v>103</v>
      </c>
      <c r="D541" s="1">
        <v>1292.5925925925901</v>
      </c>
      <c r="E541" s="1">
        <v>1.20433436532507</v>
      </c>
    </row>
    <row r="542" spans="1:5" x14ac:dyDescent="0.25">
      <c r="A542" s="2">
        <v>39</v>
      </c>
      <c r="B542" s="30" t="s">
        <v>103</v>
      </c>
      <c r="D542" s="1">
        <v>1296.8660968660899</v>
      </c>
      <c r="E542" s="1">
        <v>1.21671826625386</v>
      </c>
    </row>
    <row r="543" spans="1:5" x14ac:dyDescent="0.25">
      <c r="A543" s="2">
        <v>39</v>
      </c>
      <c r="B543" s="30" t="s">
        <v>103</v>
      </c>
      <c r="D543" s="1">
        <v>1314.6723646723599</v>
      </c>
      <c r="E543" s="1">
        <v>1.25077399380804</v>
      </c>
    </row>
    <row r="544" spans="1:5" x14ac:dyDescent="0.25">
      <c r="A544" s="2">
        <v>39</v>
      </c>
      <c r="B544" s="30" t="s">
        <v>103</v>
      </c>
      <c r="D544" s="1">
        <v>1326.0683760683701</v>
      </c>
      <c r="E544" s="1">
        <v>1.26315789473684</v>
      </c>
    </row>
    <row r="545" spans="1:5" x14ac:dyDescent="0.25">
      <c r="A545" s="2">
        <v>39</v>
      </c>
      <c r="B545" s="30" t="s">
        <v>103</v>
      </c>
      <c r="D545" s="1">
        <v>1346.7236467236401</v>
      </c>
      <c r="E545" s="1">
        <v>1.2879256965944199</v>
      </c>
    </row>
    <row r="546" spans="1:5" x14ac:dyDescent="0.25">
      <c r="A546" s="2">
        <v>61</v>
      </c>
      <c r="B546" s="30" t="s">
        <v>104</v>
      </c>
      <c r="D546" s="1">
        <v>1277.63532763532</v>
      </c>
      <c r="E546" s="1">
        <v>1.2105263157894699</v>
      </c>
    </row>
    <row r="547" spans="1:5" x14ac:dyDescent="0.25">
      <c r="A547" s="2">
        <v>61</v>
      </c>
      <c r="B547" s="30" t="s">
        <v>104</v>
      </c>
      <c r="D547" s="1">
        <v>1286.1823361823299</v>
      </c>
      <c r="E547" s="1">
        <v>1.3684210526315701</v>
      </c>
    </row>
    <row r="548" spans="1:5" x14ac:dyDescent="0.25">
      <c r="A548" s="2">
        <v>61</v>
      </c>
      <c r="B548" s="30" t="s">
        <v>104</v>
      </c>
      <c r="D548" s="1">
        <v>1298.29059829059</v>
      </c>
      <c r="E548" s="1">
        <v>1.45201238390092</v>
      </c>
    </row>
    <row r="549" spans="1:5" x14ac:dyDescent="0.25">
      <c r="A549" s="2">
        <v>61</v>
      </c>
      <c r="B549" s="30" t="s">
        <v>104</v>
      </c>
      <c r="D549" s="1">
        <v>1321.79487179487</v>
      </c>
      <c r="E549" s="1">
        <v>1.5232198142414799</v>
      </c>
    </row>
    <row r="550" spans="1:5" x14ac:dyDescent="0.25">
      <c r="A550" s="2">
        <v>61</v>
      </c>
      <c r="B550" s="30" t="s">
        <v>104</v>
      </c>
      <c r="D550" s="1">
        <v>1328.9173789173699</v>
      </c>
      <c r="E550" s="1">
        <v>1.62848297213622</v>
      </c>
    </row>
    <row r="551" spans="1:5" x14ac:dyDescent="0.25">
      <c r="A551" s="2">
        <v>40</v>
      </c>
      <c r="B551" s="30" t="s">
        <v>105</v>
      </c>
      <c r="D551" s="1">
        <v>1130.5970149253701</v>
      </c>
      <c r="E551" s="1">
        <v>0.65358592692828099</v>
      </c>
    </row>
    <row r="552" spans="1:5" x14ac:dyDescent="0.25">
      <c r="A552" s="2">
        <v>40</v>
      </c>
      <c r="B552" s="30" t="s">
        <v>105</v>
      </c>
      <c r="D552" s="1">
        <v>1159.7014925373101</v>
      </c>
      <c r="E552" s="1">
        <v>0.63734776725304398</v>
      </c>
    </row>
    <row r="553" spans="1:5" x14ac:dyDescent="0.25">
      <c r="A553" s="2">
        <v>40</v>
      </c>
      <c r="B553" s="30" t="s">
        <v>105</v>
      </c>
      <c r="D553" s="1">
        <v>1172.38805970149</v>
      </c>
      <c r="E553" s="1">
        <v>0.66170500676590005</v>
      </c>
    </row>
    <row r="554" spans="1:5" x14ac:dyDescent="0.25">
      <c r="A554" s="2">
        <v>40</v>
      </c>
      <c r="B554" s="30" t="s">
        <v>105</v>
      </c>
      <c r="D554" s="1">
        <v>1176.86567164179</v>
      </c>
      <c r="E554" s="1">
        <v>0.67185385656292296</v>
      </c>
    </row>
    <row r="555" spans="1:5" x14ac:dyDescent="0.25">
      <c r="A555" s="2">
        <v>40</v>
      </c>
      <c r="B555" s="30" t="s">
        <v>105</v>
      </c>
      <c r="D555" s="1">
        <v>1197.76119402985</v>
      </c>
      <c r="E555" s="1">
        <v>0.70230040595399201</v>
      </c>
    </row>
    <row r="556" spans="1:5" x14ac:dyDescent="0.25">
      <c r="A556" s="2">
        <v>40</v>
      </c>
      <c r="B556" s="30" t="s">
        <v>105</v>
      </c>
      <c r="D556" s="1">
        <v>1207.4626865671601</v>
      </c>
      <c r="E556" s="1">
        <v>0.71041948579160996</v>
      </c>
    </row>
    <row r="557" spans="1:5" x14ac:dyDescent="0.25">
      <c r="A557" s="2">
        <v>40</v>
      </c>
      <c r="B557" s="30" t="s">
        <v>105</v>
      </c>
      <c r="D557" s="1">
        <v>1219.4029850746199</v>
      </c>
      <c r="E557" s="1">
        <v>0.74695534506089201</v>
      </c>
    </row>
    <row r="558" spans="1:5" x14ac:dyDescent="0.25">
      <c r="A558" s="2">
        <v>40</v>
      </c>
      <c r="B558" s="30" t="s">
        <v>105</v>
      </c>
      <c r="D558" s="1">
        <v>1243.28358208955</v>
      </c>
      <c r="E558" s="1">
        <v>0.77740189445196195</v>
      </c>
    </row>
    <row r="559" spans="1:5" x14ac:dyDescent="0.25">
      <c r="A559" s="2">
        <v>40</v>
      </c>
      <c r="B559" s="30" t="s">
        <v>105</v>
      </c>
      <c r="D559" s="1">
        <v>1262.6865671641699</v>
      </c>
      <c r="E559" s="1">
        <v>0.78958051420838904</v>
      </c>
    </row>
    <row r="560" spans="1:5" x14ac:dyDescent="0.25">
      <c r="A560" s="2">
        <v>46</v>
      </c>
      <c r="B560" s="30" t="s">
        <v>111</v>
      </c>
      <c r="D560" s="1">
        <v>1175.6070640176599</v>
      </c>
      <c r="E560" s="1">
        <v>0.52661064425770299</v>
      </c>
    </row>
    <row r="561" spans="1:5" x14ac:dyDescent="0.25">
      <c r="A561" s="2">
        <v>46</v>
      </c>
      <c r="B561" s="30" t="s">
        <v>111</v>
      </c>
      <c r="D561" s="1">
        <v>1197.6821192052901</v>
      </c>
      <c r="E561" s="1">
        <v>0.54061624649859896</v>
      </c>
    </row>
    <row r="562" spans="1:5" x14ac:dyDescent="0.25">
      <c r="A562" s="2">
        <v>46</v>
      </c>
      <c r="B562" s="30" t="s">
        <v>111</v>
      </c>
      <c r="D562" s="1">
        <v>1231.3465783664401</v>
      </c>
      <c r="E562" s="1">
        <v>0.57002801120448099</v>
      </c>
    </row>
    <row r="563" spans="1:5" x14ac:dyDescent="0.25">
      <c r="A563" s="2">
        <v>46</v>
      </c>
      <c r="B563" s="30" t="s">
        <v>111</v>
      </c>
      <c r="D563" s="1">
        <v>1264.4591611479</v>
      </c>
      <c r="E563" s="1">
        <v>0.61624649859943903</v>
      </c>
    </row>
    <row r="564" spans="1:5" x14ac:dyDescent="0.25">
      <c r="A564" s="2">
        <v>46</v>
      </c>
      <c r="B564" s="30" t="s">
        <v>111</v>
      </c>
      <c r="D564" s="1">
        <v>1283.2229580573901</v>
      </c>
      <c r="E564" s="1">
        <v>0.64005602240896298</v>
      </c>
    </row>
    <row r="565" spans="1:5" x14ac:dyDescent="0.25">
      <c r="A565" s="2">
        <v>46</v>
      </c>
      <c r="B565" s="30" t="s">
        <v>111</v>
      </c>
      <c r="D565" s="1">
        <v>1299.2273730684301</v>
      </c>
      <c r="E565" s="1">
        <v>0.65126050420168002</v>
      </c>
    </row>
    <row r="566" spans="1:5" x14ac:dyDescent="0.25">
      <c r="A566" s="2">
        <v>41</v>
      </c>
      <c r="B566" s="30" t="s">
        <v>106</v>
      </c>
      <c r="D566" s="1">
        <v>1554.2416452442101</v>
      </c>
      <c r="E566" s="1">
        <v>0.56590909090909003</v>
      </c>
    </row>
    <row r="567" spans="1:5" x14ac:dyDescent="0.25">
      <c r="A567" s="2">
        <v>41</v>
      </c>
      <c r="B567" s="30" t="s">
        <v>106</v>
      </c>
      <c r="D567" s="1">
        <v>1564.5244215938301</v>
      </c>
      <c r="E567" s="1">
        <v>0.56590909090909003</v>
      </c>
    </row>
    <row r="568" spans="1:5" x14ac:dyDescent="0.25">
      <c r="A568" s="2">
        <v>41</v>
      </c>
      <c r="B568" s="30" t="s">
        <v>106</v>
      </c>
      <c r="D568" s="1">
        <v>1567.09511568123</v>
      </c>
      <c r="E568" s="1">
        <v>0.69545454545454499</v>
      </c>
    </row>
    <row r="569" spans="1:5" x14ac:dyDescent="0.25">
      <c r="A569" s="2">
        <v>41</v>
      </c>
      <c r="B569" s="30" t="s">
        <v>106</v>
      </c>
      <c r="D569" s="1">
        <v>1604.37017994858</v>
      </c>
      <c r="E569" s="1">
        <v>0.74545454545454504</v>
      </c>
    </row>
    <row r="570" spans="1:5" x14ac:dyDescent="0.25">
      <c r="A570" s="2">
        <v>41</v>
      </c>
      <c r="B570" s="30" t="s">
        <v>106</v>
      </c>
      <c r="D570" s="1">
        <v>1630.0771208226199</v>
      </c>
      <c r="E570" s="1">
        <v>0.79772727272727195</v>
      </c>
    </row>
    <row r="571" spans="1:5" x14ac:dyDescent="0.25">
      <c r="A571" s="2">
        <v>41</v>
      </c>
      <c r="B571" s="30" t="s">
        <v>106</v>
      </c>
      <c r="D571" s="1">
        <v>1736.76092544987</v>
      </c>
      <c r="E571" s="1">
        <v>0.90909090909090895</v>
      </c>
    </row>
    <row r="572" spans="1:5" x14ac:dyDescent="0.25">
      <c r="A572" s="2">
        <v>41</v>
      </c>
      <c r="B572" s="30" t="s">
        <v>106</v>
      </c>
      <c r="D572" s="1">
        <v>1716.19537275064</v>
      </c>
      <c r="E572" s="1">
        <v>0.70227272727272605</v>
      </c>
    </row>
    <row r="573" spans="1:5" x14ac:dyDescent="0.25">
      <c r="A573" s="2">
        <v>41</v>
      </c>
      <c r="B573" s="30" t="s">
        <v>106</v>
      </c>
      <c r="D573" s="1">
        <v>1703.34190231362</v>
      </c>
      <c r="E573" s="1">
        <v>0.52954545454545399</v>
      </c>
    </row>
    <row r="574" spans="1:5" x14ac:dyDescent="0.25">
      <c r="A574" s="2">
        <v>42</v>
      </c>
      <c r="B574" s="30" t="s">
        <v>107</v>
      </c>
      <c r="D574" s="1">
        <v>1578.6632390745499</v>
      </c>
      <c r="E574" s="1">
        <v>0.74772727272727202</v>
      </c>
    </row>
    <row r="575" spans="1:5" x14ac:dyDescent="0.25">
      <c r="A575" s="2">
        <v>42</v>
      </c>
      <c r="B575" s="30" t="s">
        <v>107</v>
      </c>
      <c r="D575" s="1">
        <v>1613.3676092544899</v>
      </c>
      <c r="E575" s="1">
        <v>0.74318181818181805</v>
      </c>
    </row>
    <row r="576" spans="1:5" x14ac:dyDescent="0.25">
      <c r="A576" s="2">
        <v>42</v>
      </c>
      <c r="B576" s="30" t="s">
        <v>107</v>
      </c>
      <c r="D576" s="1">
        <v>1614.6529562982</v>
      </c>
      <c r="E576" s="1">
        <v>0.83181818181818101</v>
      </c>
    </row>
    <row r="577" spans="1:5" x14ac:dyDescent="0.25">
      <c r="A577" s="2">
        <v>42</v>
      </c>
      <c r="B577" s="30" t="s">
        <v>107</v>
      </c>
      <c r="D577" s="1">
        <v>1586.37532133676</v>
      </c>
      <c r="E577" s="1">
        <v>0.85227272727272696</v>
      </c>
    </row>
    <row r="578" spans="1:5" x14ac:dyDescent="0.25">
      <c r="A578" s="2">
        <v>43</v>
      </c>
      <c r="B578" s="30" t="s">
        <v>108</v>
      </c>
      <c r="D578" s="1">
        <v>1712.3789020452</v>
      </c>
      <c r="E578" s="1">
        <v>0.49479940564635899</v>
      </c>
    </row>
    <row r="579" spans="1:5" x14ac:dyDescent="0.25">
      <c r="A579" s="2">
        <v>43</v>
      </c>
      <c r="B579" s="30" t="s">
        <v>108</v>
      </c>
      <c r="D579" s="1">
        <v>1730.7857911732999</v>
      </c>
      <c r="E579" s="1">
        <v>0.47696879643387802</v>
      </c>
    </row>
    <row r="580" spans="1:5" x14ac:dyDescent="0.25">
      <c r="A580" s="2">
        <v>43</v>
      </c>
      <c r="B580" s="30" t="s">
        <v>108</v>
      </c>
      <c r="D580" s="1">
        <v>1723.03552206673</v>
      </c>
      <c r="E580" s="1">
        <v>0.70430906389301595</v>
      </c>
    </row>
    <row r="581" spans="1:5" x14ac:dyDescent="0.25">
      <c r="A581" s="2">
        <v>43</v>
      </c>
      <c r="B581" s="30" t="s">
        <v>108</v>
      </c>
      <c r="D581" s="1">
        <v>1751.1302475780401</v>
      </c>
      <c r="E581" s="1">
        <v>0.75334323922734003</v>
      </c>
    </row>
    <row r="582" spans="1:5" x14ac:dyDescent="0.25">
      <c r="A582" s="2">
        <v>43</v>
      </c>
      <c r="B582" s="30" t="s">
        <v>108</v>
      </c>
      <c r="D582" s="1">
        <v>1768.56835306781</v>
      </c>
      <c r="E582" s="1">
        <v>0.802377414561664</v>
      </c>
    </row>
    <row r="583" spans="1:5" x14ac:dyDescent="0.25">
      <c r="A583" s="2">
        <v>43</v>
      </c>
      <c r="B583" s="30" t="s">
        <v>108</v>
      </c>
      <c r="D583" s="1">
        <v>1794.7255113024701</v>
      </c>
      <c r="E583" s="1">
        <v>0.85586924219910798</v>
      </c>
    </row>
    <row r="584" spans="1:5" x14ac:dyDescent="0.25">
      <c r="A584" s="2">
        <v>43</v>
      </c>
      <c r="B584" s="30" t="s">
        <v>108</v>
      </c>
      <c r="D584" s="1">
        <v>1823.78902045209</v>
      </c>
      <c r="E584" s="1">
        <v>0.864784546805349</v>
      </c>
    </row>
    <row r="585" spans="1:5" x14ac:dyDescent="0.25">
      <c r="A585" s="2">
        <v>43</v>
      </c>
      <c r="B585" s="30" t="s">
        <v>108</v>
      </c>
      <c r="D585" s="1">
        <v>1845.1022604951499</v>
      </c>
      <c r="E585" s="1">
        <v>0.869242199108469</v>
      </c>
    </row>
    <row r="586" spans="1:5" x14ac:dyDescent="0.25">
      <c r="A586" s="2">
        <v>43</v>
      </c>
      <c r="B586" s="30" t="s">
        <v>108</v>
      </c>
      <c r="D586" s="1">
        <v>1872.22820236813</v>
      </c>
      <c r="E586" s="1">
        <v>0.84695393759286697</v>
      </c>
    </row>
    <row r="587" spans="1:5" x14ac:dyDescent="0.25">
      <c r="A587" s="2">
        <v>43</v>
      </c>
      <c r="B587" s="30" t="s">
        <v>108</v>
      </c>
      <c r="D587" s="1">
        <v>1872.22820236813</v>
      </c>
      <c r="E587" s="1">
        <v>0.74442793462109902</v>
      </c>
    </row>
    <row r="588" spans="1:5" x14ac:dyDescent="0.25">
      <c r="A588" s="2">
        <v>43</v>
      </c>
      <c r="B588" s="30" t="s">
        <v>108</v>
      </c>
      <c r="D588" s="1">
        <v>1816.03875134553</v>
      </c>
      <c r="E588" s="1">
        <v>0.68647845468053403</v>
      </c>
    </row>
    <row r="589" spans="1:5" x14ac:dyDescent="0.25">
      <c r="A589" s="2">
        <v>43</v>
      </c>
      <c r="B589" s="30" t="s">
        <v>108</v>
      </c>
      <c r="D589" s="1">
        <v>1776.3186221743799</v>
      </c>
      <c r="E589" s="1">
        <v>0.61961367013372903</v>
      </c>
    </row>
    <row r="590" spans="1:5" x14ac:dyDescent="0.25">
      <c r="A590" s="2">
        <v>43</v>
      </c>
      <c r="B590" s="30" t="s">
        <v>108</v>
      </c>
      <c r="D590" s="1">
        <v>1801.50699677072</v>
      </c>
      <c r="E590" s="1">
        <v>0.534918276374442</v>
      </c>
    </row>
    <row r="591" spans="1:5" x14ac:dyDescent="0.25">
      <c r="A591" s="2">
        <v>44</v>
      </c>
      <c r="B591" s="30" t="s">
        <v>109</v>
      </c>
      <c r="D591" s="1">
        <v>1697.8471474703899</v>
      </c>
      <c r="E591" s="1">
        <v>0.62852897473997005</v>
      </c>
    </row>
    <row r="592" spans="1:5" x14ac:dyDescent="0.25">
      <c r="A592" s="2">
        <v>44</v>
      </c>
      <c r="B592" s="30" t="s">
        <v>109</v>
      </c>
      <c r="D592" s="1">
        <v>1841.2271259418701</v>
      </c>
      <c r="E592" s="1">
        <v>0.58395245170876597</v>
      </c>
    </row>
    <row r="593" spans="1:5" x14ac:dyDescent="0.25">
      <c r="A593" s="2">
        <v>45</v>
      </c>
      <c r="B593" s="30" t="s">
        <v>110</v>
      </c>
      <c r="D593" s="1">
        <v>1712.3789020452</v>
      </c>
      <c r="E593" s="1">
        <v>0.401188707280832</v>
      </c>
    </row>
    <row r="594" spans="1:5" x14ac:dyDescent="0.25">
      <c r="A594" s="2">
        <v>45</v>
      </c>
      <c r="B594" s="30" t="s">
        <v>110</v>
      </c>
      <c r="D594" s="1">
        <v>1776.3186221743799</v>
      </c>
      <c r="E594" s="1">
        <v>0.26300148588410099</v>
      </c>
    </row>
    <row r="595" spans="1:5" x14ac:dyDescent="0.25">
      <c r="A595" s="2">
        <v>100</v>
      </c>
      <c r="B595" s="30" t="s">
        <v>146</v>
      </c>
      <c r="D595" s="1">
        <v>785.88122136744698</v>
      </c>
      <c r="E595" s="1">
        <v>1.17774440314633</v>
      </c>
    </row>
    <row r="596" spans="1:5" x14ac:dyDescent="0.25">
      <c r="A596" s="2">
        <v>100</v>
      </c>
      <c r="B596" s="30" t="s">
        <v>146</v>
      </c>
      <c r="D596" s="1">
        <v>791.99994381536806</v>
      </c>
      <c r="E596" s="1">
        <v>1.14979687094822</v>
      </c>
    </row>
    <row r="597" spans="1:5" x14ac:dyDescent="0.25">
      <c r="A597" s="2">
        <v>100</v>
      </c>
      <c r="B597" s="30" t="s">
        <v>146</v>
      </c>
      <c r="D597" s="1">
        <v>890.657995505229</v>
      </c>
      <c r="E597" s="1">
        <v>1.31411098625637</v>
      </c>
    </row>
    <row r="598" spans="1:5" x14ac:dyDescent="0.25">
      <c r="A598" s="2">
        <v>100</v>
      </c>
      <c r="B598" s="30" t="s">
        <v>146</v>
      </c>
      <c r="D598" s="1">
        <v>924.23803699541804</v>
      </c>
      <c r="E598" s="1">
        <v>1.33237315239</v>
      </c>
    </row>
    <row r="599" spans="1:5" x14ac:dyDescent="0.25">
      <c r="A599" s="2">
        <v>100</v>
      </c>
      <c r="B599" s="30" t="s">
        <v>146</v>
      </c>
      <c r="D599" s="1">
        <v>964.97297519232404</v>
      </c>
      <c r="E599" s="1">
        <v>1.27938888408678</v>
      </c>
    </row>
    <row r="600" spans="1:5" x14ac:dyDescent="0.25">
      <c r="A600" s="2">
        <v>100</v>
      </c>
      <c r="B600" s="30" t="s">
        <v>146</v>
      </c>
      <c r="D600" s="1">
        <v>973.5962356297</v>
      </c>
      <c r="E600" s="1">
        <v>1.3457407727547701</v>
      </c>
    </row>
    <row r="601" spans="1:5" x14ac:dyDescent="0.25">
      <c r="A601" s="2">
        <v>100</v>
      </c>
      <c r="B601" s="30" t="s">
        <v>146</v>
      </c>
      <c r="D601" s="1">
        <v>1043.36890396749</v>
      </c>
      <c r="E601" s="1">
        <v>1.22178883222404</v>
      </c>
    </row>
    <row r="602" spans="1:5" x14ac:dyDescent="0.25">
      <c r="A602" s="2">
        <v>100</v>
      </c>
      <c r="B602" s="30" t="s">
        <v>146</v>
      </c>
      <c r="D602" s="1">
        <v>1049.4779021523</v>
      </c>
      <c r="E602" s="1">
        <v>1.2167711124556999</v>
      </c>
    </row>
    <row r="603" spans="1:5" x14ac:dyDescent="0.25">
      <c r="A603" s="2">
        <v>100</v>
      </c>
      <c r="B603" s="30" t="s">
        <v>146</v>
      </c>
      <c r="D603" s="1">
        <v>1049.49410925749</v>
      </c>
      <c r="E603" s="1">
        <v>1.17855475840608</v>
      </c>
    </row>
    <row r="604" spans="1:5" x14ac:dyDescent="0.25">
      <c r="A604" s="2">
        <v>100</v>
      </c>
      <c r="B604" s="30" t="s">
        <v>146</v>
      </c>
      <c r="D604" s="1">
        <v>1056.08067680871</v>
      </c>
      <c r="E604" s="1">
        <v>1.2474284726424001</v>
      </c>
    </row>
    <row r="605" spans="1:5" x14ac:dyDescent="0.25">
      <c r="A605" s="2">
        <v>100</v>
      </c>
      <c r="B605" s="30" t="s">
        <v>146</v>
      </c>
      <c r="D605" s="1">
        <v>1125.85226467283</v>
      </c>
      <c r="E605" s="1">
        <v>1.1260242890483101</v>
      </c>
    </row>
    <row r="606" spans="1:5" x14ac:dyDescent="0.25">
      <c r="A606" s="2">
        <v>102</v>
      </c>
      <c r="B606" s="30" t="s">
        <v>147</v>
      </c>
      <c r="D606" s="1">
        <v>811.82663583714998</v>
      </c>
      <c r="E606" s="1">
        <v>1.19845708358544</v>
      </c>
    </row>
    <row r="607" spans="1:5" x14ac:dyDescent="0.25">
      <c r="A607" s="2">
        <v>102</v>
      </c>
      <c r="B607" s="30" t="s">
        <v>147</v>
      </c>
      <c r="D607" s="1">
        <v>815.39868182211001</v>
      </c>
      <c r="E607" s="1">
        <v>1.17557265105021</v>
      </c>
    </row>
    <row r="608" spans="1:5" x14ac:dyDescent="0.25">
      <c r="A608" s="2">
        <v>102</v>
      </c>
      <c r="B608" s="30" t="s">
        <v>147</v>
      </c>
      <c r="D608" s="1">
        <v>855.58473938974805</v>
      </c>
      <c r="E608" s="1">
        <v>1.2168489065606301</v>
      </c>
    </row>
    <row r="609" spans="1:10" x14ac:dyDescent="0.25">
      <c r="A609" s="2">
        <v>102</v>
      </c>
      <c r="B609" s="30" t="s">
        <v>147</v>
      </c>
      <c r="D609" s="1">
        <v>888.66019967153602</v>
      </c>
      <c r="E609" s="1">
        <v>1.22491356210562</v>
      </c>
    </row>
    <row r="610" spans="1:10" x14ac:dyDescent="0.25">
      <c r="A610" s="2">
        <v>102</v>
      </c>
      <c r="B610" s="30" t="s">
        <v>147</v>
      </c>
      <c r="D610" s="1">
        <v>945.15600743365803</v>
      </c>
      <c r="E610" s="1">
        <v>1.2077988590197901</v>
      </c>
    </row>
    <row r="611" spans="1:10" x14ac:dyDescent="0.25">
      <c r="A611" s="2">
        <v>102</v>
      </c>
      <c r="B611" s="30" t="s">
        <v>147</v>
      </c>
      <c r="D611" s="1">
        <v>1003.20337539977</v>
      </c>
      <c r="E611" s="1">
        <v>1.1321051949174499</v>
      </c>
    </row>
    <row r="612" spans="1:10" x14ac:dyDescent="0.25">
      <c r="A612" s="2">
        <v>102</v>
      </c>
      <c r="B612" s="30" t="s">
        <v>147</v>
      </c>
      <c r="D612" s="1">
        <v>1080.06611202351</v>
      </c>
      <c r="E612" s="1">
        <v>1.08977223614832</v>
      </c>
    </row>
    <row r="613" spans="1:10" x14ac:dyDescent="0.25">
      <c r="A613" s="2">
        <v>102</v>
      </c>
      <c r="B613" s="30" t="s">
        <v>147</v>
      </c>
      <c r="D613" s="1">
        <v>1141.6639165009899</v>
      </c>
      <c r="E613" s="1">
        <v>1.0421492782435799</v>
      </c>
    </row>
    <row r="614" spans="1:10" x14ac:dyDescent="0.25">
      <c r="A614" s="2">
        <v>105</v>
      </c>
      <c r="B614" s="30" t="s">
        <v>138</v>
      </c>
      <c r="D614" s="1">
        <v>1023</v>
      </c>
      <c r="E614" s="1">
        <v>0.5</v>
      </c>
      <c r="J614">
        <v>991</v>
      </c>
    </row>
    <row r="615" spans="1:10" x14ac:dyDescent="0.25">
      <c r="A615" s="2">
        <v>105</v>
      </c>
      <c r="B615" s="30" t="s">
        <v>138</v>
      </c>
      <c r="D615" s="1">
        <v>1023</v>
      </c>
      <c r="E615" s="1">
        <v>0.51</v>
      </c>
    </row>
    <row r="616" spans="1:10" x14ac:dyDescent="0.25">
      <c r="A616" s="2">
        <v>105</v>
      </c>
      <c r="B616" s="30" t="s">
        <v>138</v>
      </c>
      <c r="D616" s="1">
        <v>1023</v>
      </c>
      <c r="E616" s="1">
        <v>0.48</v>
      </c>
    </row>
    <row r="617" spans="1:10" x14ac:dyDescent="0.25">
      <c r="A617" s="2">
        <v>105</v>
      </c>
      <c r="B617" s="30" t="s">
        <v>138</v>
      </c>
      <c r="D617" s="1">
        <v>1048</v>
      </c>
      <c r="E617" s="1">
        <v>0.48</v>
      </c>
    </row>
    <row r="618" spans="1:10" x14ac:dyDescent="0.25">
      <c r="A618" s="2">
        <v>105</v>
      </c>
      <c r="B618" s="30" t="s">
        <v>138</v>
      </c>
      <c r="D618" s="1">
        <v>1048</v>
      </c>
      <c r="E618" s="1">
        <v>0.49</v>
      </c>
    </row>
    <row r="619" spans="1:10" x14ac:dyDescent="0.25">
      <c r="A619" s="2">
        <v>105</v>
      </c>
      <c r="B619" s="30" t="s">
        <v>138</v>
      </c>
      <c r="D619" s="1">
        <v>1073</v>
      </c>
      <c r="E619" s="1">
        <v>0.49</v>
      </c>
    </row>
    <row r="620" spans="1:10" x14ac:dyDescent="0.25">
      <c r="A620" s="2">
        <v>105</v>
      </c>
      <c r="B620" s="30" t="s">
        <v>138</v>
      </c>
      <c r="D620" s="1">
        <v>1073</v>
      </c>
      <c r="E620" s="1">
        <v>0.48</v>
      </c>
    </row>
    <row r="621" spans="1:10" x14ac:dyDescent="0.25">
      <c r="A621" s="2">
        <v>105</v>
      </c>
      <c r="B621" s="30" t="s">
        <v>138</v>
      </c>
      <c r="D621" s="1">
        <v>1073</v>
      </c>
      <c r="E621" s="1">
        <v>0.48</v>
      </c>
    </row>
    <row r="622" spans="1:10" x14ac:dyDescent="0.25">
      <c r="A622" s="2">
        <v>105</v>
      </c>
      <c r="B622" s="30" t="s">
        <v>138</v>
      </c>
      <c r="D622" s="1">
        <v>1098</v>
      </c>
      <c r="E622" s="1">
        <v>0.46</v>
      </c>
    </row>
    <row r="623" spans="1:10" x14ac:dyDescent="0.25">
      <c r="A623" s="2">
        <v>105</v>
      </c>
      <c r="B623" s="30" t="s">
        <v>138</v>
      </c>
      <c r="D623" s="1">
        <v>1098</v>
      </c>
      <c r="E623" s="1">
        <v>0.5</v>
      </c>
    </row>
    <row r="624" spans="1:10" x14ac:dyDescent="0.25">
      <c r="A624" s="2">
        <v>105</v>
      </c>
      <c r="B624" s="30" t="s">
        <v>138</v>
      </c>
      <c r="D624" s="1">
        <v>1098</v>
      </c>
      <c r="E624" s="1">
        <v>0.49</v>
      </c>
    </row>
    <row r="625" spans="1:10" x14ac:dyDescent="0.25">
      <c r="A625" s="2">
        <v>105</v>
      </c>
      <c r="B625" s="30" t="s">
        <v>138</v>
      </c>
      <c r="D625" s="1">
        <v>1123</v>
      </c>
      <c r="E625" s="1">
        <v>0.47</v>
      </c>
    </row>
    <row r="626" spans="1:10" x14ac:dyDescent="0.25">
      <c r="A626" s="2">
        <v>105</v>
      </c>
      <c r="B626" s="30" t="s">
        <v>138</v>
      </c>
      <c r="D626" s="1">
        <v>1123</v>
      </c>
      <c r="E626" s="1">
        <v>0.48</v>
      </c>
    </row>
    <row r="627" spans="1:10" x14ac:dyDescent="0.25">
      <c r="A627" s="2">
        <v>105</v>
      </c>
      <c r="B627" s="30" t="s">
        <v>138</v>
      </c>
      <c r="D627" s="1">
        <v>1123</v>
      </c>
      <c r="E627" s="1">
        <v>0.48</v>
      </c>
    </row>
    <row r="628" spans="1:10" x14ac:dyDescent="0.25">
      <c r="A628" s="2">
        <v>106</v>
      </c>
      <c r="B628" s="30" t="s">
        <v>139</v>
      </c>
      <c r="D628" s="1">
        <v>1073</v>
      </c>
      <c r="E628" s="1">
        <v>0.46</v>
      </c>
      <c r="J628">
        <v>1013</v>
      </c>
    </row>
    <row r="629" spans="1:10" x14ac:dyDescent="0.25">
      <c r="A629" s="2">
        <v>106</v>
      </c>
      <c r="B629" s="30" t="s">
        <v>139</v>
      </c>
      <c r="D629" s="1">
        <v>1073</v>
      </c>
      <c r="E629" s="1">
        <v>0.46</v>
      </c>
    </row>
    <row r="630" spans="1:10" x14ac:dyDescent="0.25">
      <c r="A630" s="2">
        <v>106</v>
      </c>
      <c r="B630" s="30" t="s">
        <v>139</v>
      </c>
      <c r="D630" s="1">
        <v>1098</v>
      </c>
      <c r="E630" s="1">
        <v>0.45</v>
      </c>
    </row>
    <row r="631" spans="1:10" x14ac:dyDescent="0.25">
      <c r="A631" s="2">
        <v>106</v>
      </c>
      <c r="B631" s="30" t="s">
        <v>139</v>
      </c>
      <c r="D631" s="1">
        <v>1098</v>
      </c>
      <c r="E631" s="1">
        <v>0.44</v>
      </c>
    </row>
    <row r="632" spans="1:10" x14ac:dyDescent="0.25">
      <c r="A632" s="2">
        <v>106</v>
      </c>
      <c r="B632" s="30" t="s">
        <v>139</v>
      </c>
      <c r="D632" s="1">
        <v>1123</v>
      </c>
      <c r="E632" s="1">
        <v>0.44</v>
      </c>
    </row>
    <row r="633" spans="1:10" x14ac:dyDescent="0.25">
      <c r="A633" s="2">
        <v>106</v>
      </c>
      <c r="B633" s="30" t="s">
        <v>139</v>
      </c>
      <c r="D633" s="1">
        <v>1123</v>
      </c>
      <c r="E633" s="1">
        <v>0.46</v>
      </c>
    </row>
    <row r="634" spans="1:10" x14ac:dyDescent="0.25">
      <c r="A634" s="2">
        <v>106</v>
      </c>
      <c r="B634" s="30" t="s">
        <v>139</v>
      </c>
      <c r="D634" s="1">
        <v>1148</v>
      </c>
      <c r="E634" s="1">
        <v>0.42</v>
      </c>
    </row>
    <row r="635" spans="1:10" x14ac:dyDescent="0.25">
      <c r="A635" s="2">
        <v>106</v>
      </c>
      <c r="B635" s="30" t="s">
        <v>139</v>
      </c>
      <c r="D635" s="1">
        <v>1173</v>
      </c>
      <c r="E635" s="1">
        <v>0.44</v>
      </c>
    </row>
    <row r="636" spans="1:10" x14ac:dyDescent="0.25">
      <c r="A636" s="2">
        <v>107</v>
      </c>
      <c r="B636" s="30" t="s">
        <v>140</v>
      </c>
      <c r="D636" s="1">
        <v>1073</v>
      </c>
      <c r="E636" s="1">
        <v>0.44</v>
      </c>
      <c r="J636">
        <v>1021</v>
      </c>
    </row>
    <row r="637" spans="1:10" x14ac:dyDescent="0.25">
      <c r="A637" s="2">
        <v>107</v>
      </c>
      <c r="B637" s="30" t="s">
        <v>140</v>
      </c>
      <c r="D637" s="1">
        <v>1073</v>
      </c>
      <c r="E637" s="1">
        <v>0.43</v>
      </c>
    </row>
    <row r="638" spans="1:10" x14ac:dyDescent="0.25">
      <c r="A638" s="2">
        <v>107</v>
      </c>
      <c r="B638" s="30" t="s">
        <v>140</v>
      </c>
      <c r="D638" s="1">
        <v>1098</v>
      </c>
      <c r="E638" s="1">
        <v>0.46</v>
      </c>
    </row>
    <row r="639" spans="1:10" x14ac:dyDescent="0.25">
      <c r="A639" s="2">
        <v>107</v>
      </c>
      <c r="B639" s="30" t="s">
        <v>140</v>
      </c>
      <c r="D639" s="1">
        <v>1098</v>
      </c>
      <c r="E639" s="1">
        <v>0.43</v>
      </c>
    </row>
    <row r="640" spans="1:10" x14ac:dyDescent="0.25">
      <c r="A640" s="2">
        <v>107</v>
      </c>
      <c r="B640" s="30" t="s">
        <v>140</v>
      </c>
      <c r="D640" s="1">
        <v>1098</v>
      </c>
      <c r="E640" s="1">
        <v>0.46</v>
      </c>
    </row>
    <row r="641" spans="1:5" x14ac:dyDescent="0.25">
      <c r="A641" s="2">
        <v>107</v>
      </c>
      <c r="B641" s="30" t="s">
        <v>140</v>
      </c>
      <c r="D641" s="1">
        <v>1123</v>
      </c>
      <c r="E641" s="1">
        <v>0.45</v>
      </c>
    </row>
    <row r="642" spans="1:5" x14ac:dyDescent="0.25">
      <c r="A642" s="2">
        <v>107</v>
      </c>
      <c r="B642" s="30" t="s">
        <v>140</v>
      </c>
      <c r="D642" s="1">
        <v>1123</v>
      </c>
      <c r="E642" s="1">
        <v>0.44</v>
      </c>
    </row>
    <row r="643" spans="1:5" x14ac:dyDescent="0.25">
      <c r="A643" s="2">
        <v>208</v>
      </c>
      <c r="B643" t="s">
        <v>172</v>
      </c>
      <c r="D643" s="1">
        <v>523.48130841121497</v>
      </c>
      <c r="E643" s="1">
        <v>0.42737850787132098</v>
      </c>
    </row>
    <row r="644" spans="1:5" x14ac:dyDescent="0.25">
      <c r="A644" s="2">
        <v>208</v>
      </c>
      <c r="B644" t="s">
        <v>172</v>
      </c>
      <c r="D644" s="1">
        <v>573.24766355140196</v>
      </c>
      <c r="E644" s="1">
        <v>0.40485968514715898</v>
      </c>
    </row>
    <row r="645" spans="1:5" x14ac:dyDescent="0.25">
      <c r="A645" s="2">
        <v>208</v>
      </c>
      <c r="B645" t="s">
        <v>172</v>
      </c>
      <c r="D645" s="1">
        <v>623.36448598130801</v>
      </c>
      <c r="E645" s="1">
        <v>0.39575633127994497</v>
      </c>
    </row>
    <row r="646" spans="1:5" x14ac:dyDescent="0.25">
      <c r="A646" s="2">
        <v>208</v>
      </c>
      <c r="B646" t="s">
        <v>172</v>
      </c>
      <c r="D646" s="1">
        <v>648.24766355140196</v>
      </c>
      <c r="E646" s="1">
        <v>0.39096509240246402</v>
      </c>
    </row>
    <row r="647" spans="1:5" x14ac:dyDescent="0.25">
      <c r="A647" s="2">
        <v>208</v>
      </c>
      <c r="B647" t="s">
        <v>172</v>
      </c>
      <c r="D647" s="1">
        <v>673.130841121495</v>
      </c>
      <c r="E647" s="1">
        <v>0.38377823408624201</v>
      </c>
    </row>
    <row r="648" spans="1:5" x14ac:dyDescent="0.25">
      <c r="A648" s="2">
        <v>208</v>
      </c>
      <c r="B648" t="s">
        <v>172</v>
      </c>
      <c r="D648" s="1">
        <v>698.36448598130801</v>
      </c>
      <c r="E648" s="1">
        <v>0.38090349075975299</v>
      </c>
    </row>
    <row r="649" spans="1:5" x14ac:dyDescent="0.25">
      <c r="A649" s="2">
        <v>209</v>
      </c>
      <c r="B649" t="s">
        <v>171</v>
      </c>
      <c r="D649" s="1">
        <v>522.63401720714705</v>
      </c>
      <c r="E649" s="1">
        <v>0.56427463149728396</v>
      </c>
    </row>
    <row r="650" spans="1:5" x14ac:dyDescent="0.25">
      <c r="A650" s="2">
        <v>209</v>
      </c>
      <c r="B650" t="s">
        <v>171</v>
      </c>
      <c r="D650" s="1">
        <v>572.66710787557895</v>
      </c>
      <c r="E650" s="1">
        <v>0.55938712179984396</v>
      </c>
    </row>
    <row r="651" spans="1:5" x14ac:dyDescent="0.25">
      <c r="A651" s="2">
        <v>209</v>
      </c>
      <c r="B651" t="s">
        <v>171</v>
      </c>
      <c r="D651" s="1">
        <v>622.70019854401005</v>
      </c>
      <c r="E651" s="1">
        <v>0.54010861132660903</v>
      </c>
    </row>
    <row r="652" spans="1:5" x14ac:dyDescent="0.25">
      <c r="A652" s="2">
        <v>209</v>
      </c>
      <c r="B652" t="s">
        <v>171</v>
      </c>
      <c r="D652" s="1">
        <v>672.73328921244195</v>
      </c>
      <c r="E652" s="1">
        <v>0.50779674166020095</v>
      </c>
    </row>
    <row r="653" spans="1:5" x14ac:dyDescent="0.25">
      <c r="A653" s="2">
        <v>209</v>
      </c>
      <c r="B653" t="s">
        <v>171</v>
      </c>
      <c r="D653" s="1">
        <v>773.19655857048303</v>
      </c>
      <c r="E653" s="1">
        <v>0.49612102404964997</v>
      </c>
    </row>
    <row r="654" spans="1:5" x14ac:dyDescent="0.25">
      <c r="A654" s="2">
        <v>209</v>
      </c>
      <c r="B654" t="s">
        <v>171</v>
      </c>
      <c r="D654" s="1">
        <v>872.86565188616805</v>
      </c>
      <c r="E654" s="1">
        <v>0.50155159038013897</v>
      </c>
    </row>
    <row r="655" spans="1:5" x14ac:dyDescent="0.25">
      <c r="A655" s="2">
        <v>209</v>
      </c>
      <c r="B655" t="s">
        <v>171</v>
      </c>
      <c r="D655" s="1">
        <v>972.93183322303105</v>
      </c>
      <c r="E655" s="1">
        <v>0.47276958882854903</v>
      </c>
    </row>
    <row r="656" spans="1:5" x14ac:dyDescent="0.25">
      <c r="A656" s="2">
        <v>209</v>
      </c>
      <c r="B656" t="s">
        <v>171</v>
      </c>
      <c r="D656" s="1">
        <v>1072.6009265387099</v>
      </c>
      <c r="E656" s="1">
        <v>0.45865011636927799</v>
      </c>
    </row>
    <row r="657" spans="1:8" x14ac:dyDescent="0.25">
      <c r="A657" s="32">
        <v>210</v>
      </c>
      <c r="B657" s="30" t="s">
        <v>142</v>
      </c>
      <c r="D657" s="34">
        <v>993.01377726750798</v>
      </c>
      <c r="E657" s="34">
        <v>0.71</v>
      </c>
      <c r="F657" s="34"/>
      <c r="G657" s="30"/>
      <c r="H657" s="30"/>
    </row>
    <row r="658" spans="1:8" x14ac:dyDescent="0.25">
      <c r="A658" s="32">
        <v>210</v>
      </c>
      <c r="B658" s="30" t="s">
        <v>142</v>
      </c>
      <c r="D658" s="34">
        <v>993.01377726750798</v>
      </c>
      <c r="E658" s="34">
        <v>0.77</v>
      </c>
      <c r="F658" s="34"/>
      <c r="G658" s="30"/>
      <c r="H658" s="30"/>
    </row>
    <row r="659" spans="1:8" x14ac:dyDescent="0.25">
      <c r="A659" s="32">
        <v>210</v>
      </c>
      <c r="B659" s="30" t="s">
        <v>142</v>
      </c>
      <c r="D659" s="34">
        <v>1013.00803673938</v>
      </c>
      <c r="E659" s="34">
        <v>0.77</v>
      </c>
      <c r="F659" s="34"/>
      <c r="G659" s="30"/>
      <c r="H659" s="30"/>
    </row>
    <row r="660" spans="1:8" x14ac:dyDescent="0.25">
      <c r="A660" s="32">
        <v>210</v>
      </c>
      <c r="B660" s="30" t="s">
        <v>142</v>
      </c>
      <c r="D660" s="34">
        <v>1013.00803673938</v>
      </c>
      <c r="E660" s="34">
        <v>0.76</v>
      </c>
      <c r="F660" s="34"/>
      <c r="G660" s="30"/>
      <c r="H660" s="30"/>
    </row>
    <row r="661" spans="1:8" x14ac:dyDescent="0.25">
      <c r="A661" s="32">
        <v>210</v>
      </c>
      <c r="B661" s="30" t="s">
        <v>142</v>
      </c>
      <c r="D661" s="34">
        <v>1033.00229621125</v>
      </c>
      <c r="E661" s="34">
        <v>0.72</v>
      </c>
      <c r="F661" s="34"/>
      <c r="G661" s="30"/>
      <c r="H661" s="30"/>
    </row>
    <row r="662" spans="1:8" x14ac:dyDescent="0.25">
      <c r="A662" s="32">
        <v>210</v>
      </c>
      <c r="B662" s="30" t="s">
        <v>142</v>
      </c>
      <c r="D662" s="1">
        <v>1033.00229621125</v>
      </c>
      <c r="E662" s="1">
        <v>0.71</v>
      </c>
      <c r="F662" s="34"/>
    </row>
    <row r="663" spans="1:8" x14ac:dyDescent="0.25">
      <c r="A663" s="32">
        <v>210</v>
      </c>
      <c r="B663" s="30" t="s">
        <v>142</v>
      </c>
      <c r="D663" s="1">
        <v>1052.9965556831201</v>
      </c>
      <c r="E663" s="1">
        <v>0.73</v>
      </c>
      <c r="F663" s="34"/>
    </row>
    <row r="664" spans="1:8" x14ac:dyDescent="0.25">
      <c r="A664" s="2">
        <v>220</v>
      </c>
      <c r="B664" s="30" t="s">
        <v>148</v>
      </c>
      <c r="D664" s="1">
        <v>722.73280584297004</v>
      </c>
      <c r="E664" s="1">
        <v>0.472138228941684</v>
      </c>
    </row>
    <row r="665" spans="1:8" x14ac:dyDescent="0.25">
      <c r="A665" s="2">
        <v>220</v>
      </c>
      <c r="B665" s="30" t="s">
        <v>148</v>
      </c>
      <c r="D665" s="1">
        <v>772.94583079732195</v>
      </c>
      <c r="E665" s="1">
        <v>0.45053995680345499</v>
      </c>
    </row>
    <row r="666" spans="1:8" x14ac:dyDescent="0.25">
      <c r="A666" s="2">
        <v>220</v>
      </c>
      <c r="B666" s="30" t="s">
        <v>148</v>
      </c>
      <c r="D666" s="1">
        <v>822.85453438831405</v>
      </c>
      <c r="E666" s="1">
        <v>0.43347732181425402</v>
      </c>
    </row>
    <row r="667" spans="1:8" x14ac:dyDescent="0.25">
      <c r="A667" s="2">
        <v>220</v>
      </c>
      <c r="B667" s="30" t="s">
        <v>148</v>
      </c>
      <c r="D667" s="1">
        <v>873.06755934266505</v>
      </c>
      <c r="E667" s="1">
        <v>0.422894168466522</v>
      </c>
    </row>
    <row r="668" spans="1:8" x14ac:dyDescent="0.25">
      <c r="A668" s="2">
        <v>220</v>
      </c>
      <c r="B668" s="30" t="s">
        <v>148</v>
      </c>
      <c r="D668" s="1">
        <v>922.97626293365704</v>
      </c>
      <c r="E668" s="1">
        <v>0.41252699784017199</v>
      </c>
    </row>
    <row r="669" spans="1:8" x14ac:dyDescent="0.25">
      <c r="A669" s="2">
        <v>220</v>
      </c>
      <c r="B669" s="30" t="s">
        <v>148</v>
      </c>
      <c r="D669" s="1">
        <v>973.18928788800895</v>
      </c>
      <c r="E669" s="1">
        <v>0.40647948164146802</v>
      </c>
    </row>
    <row r="670" spans="1:8" x14ac:dyDescent="0.25">
      <c r="A670" s="2">
        <v>230</v>
      </c>
      <c r="B670" s="30" t="s">
        <v>149</v>
      </c>
      <c r="D670" s="1">
        <v>742</v>
      </c>
      <c r="E670" s="1">
        <v>1.17</v>
      </c>
    </row>
    <row r="671" spans="1:8" x14ac:dyDescent="0.25">
      <c r="A671" s="2">
        <v>230</v>
      </c>
      <c r="B671" s="30" t="s">
        <v>149</v>
      </c>
      <c r="D671" s="1">
        <v>748</v>
      </c>
      <c r="E671" s="1">
        <v>1.17</v>
      </c>
    </row>
    <row r="672" spans="1:8" x14ac:dyDescent="0.25">
      <c r="A672" s="2">
        <v>240</v>
      </c>
      <c r="B672" s="30" t="s">
        <v>150</v>
      </c>
      <c r="D672" s="1">
        <v>750.14153147936395</v>
      </c>
      <c r="E672" s="1">
        <v>1.25278967712335</v>
      </c>
    </row>
    <row r="673" spans="1:5" x14ac:dyDescent="0.25">
      <c r="A673" s="2">
        <v>240</v>
      </c>
      <c r="B673" s="30" t="s">
        <v>150</v>
      </c>
      <c r="D673" s="1">
        <v>752.13939601477898</v>
      </c>
      <c r="E673" s="1">
        <v>1.2344495096633501</v>
      </c>
    </row>
    <row r="674" spans="1:5" x14ac:dyDescent="0.25">
      <c r="A674" s="2">
        <v>240</v>
      </c>
      <c r="B674" s="30" t="s">
        <v>150</v>
      </c>
      <c r="D674" s="1">
        <v>766.52402066976799</v>
      </c>
      <c r="E674" s="1">
        <v>1.23653361960199</v>
      </c>
    </row>
    <row r="675" spans="1:5" x14ac:dyDescent="0.25">
      <c r="A675" s="2">
        <v>240</v>
      </c>
      <c r="B675" s="30" t="s">
        <v>150</v>
      </c>
      <c r="D675" s="1">
        <v>763.19424644407604</v>
      </c>
      <c r="E675" s="1">
        <v>1.2194439181051699</v>
      </c>
    </row>
    <row r="676" spans="1:5" x14ac:dyDescent="0.25">
      <c r="A676" s="2">
        <v>240</v>
      </c>
      <c r="B676" s="30" t="s">
        <v>150</v>
      </c>
      <c r="D676" s="1">
        <v>748.14366694394801</v>
      </c>
      <c r="E676" s="1">
        <v>1.2073560804610799</v>
      </c>
    </row>
    <row r="677" spans="1:5" x14ac:dyDescent="0.25">
      <c r="A677" s="2">
        <v>240</v>
      </c>
      <c r="B677" s="30" t="s">
        <v>150</v>
      </c>
      <c r="D677" s="1">
        <v>746.27899337756105</v>
      </c>
      <c r="E677" s="1">
        <v>1.20777290244881</v>
      </c>
    </row>
    <row r="678" spans="1:5" x14ac:dyDescent="0.25">
      <c r="A678" s="2">
        <v>240</v>
      </c>
      <c r="B678" s="30" t="s">
        <v>150</v>
      </c>
      <c r="D678" s="1">
        <v>757.20065283783094</v>
      </c>
      <c r="E678" s="1">
        <v>1.1802626512588099</v>
      </c>
    </row>
    <row r="679" spans="1:5" x14ac:dyDescent="0.25">
      <c r="A679" s="2">
        <v>240</v>
      </c>
      <c r="B679" s="30" t="s">
        <v>150</v>
      </c>
      <c r="D679" s="1">
        <v>759.33170834227303</v>
      </c>
      <c r="E679" s="1">
        <v>1.1660907036760899</v>
      </c>
    </row>
    <row r="680" spans="1:5" x14ac:dyDescent="0.25">
      <c r="A680" s="2">
        <v>240</v>
      </c>
      <c r="B680" s="30" t="s">
        <v>150</v>
      </c>
      <c r="D680" s="1">
        <v>761.72914578477196</v>
      </c>
      <c r="E680" s="1">
        <v>1.18067947324654</v>
      </c>
    </row>
    <row r="681" spans="1:5" x14ac:dyDescent="0.25">
      <c r="A681" s="2">
        <v>240</v>
      </c>
      <c r="B681" s="30" t="s">
        <v>150</v>
      </c>
      <c r="D681" s="1">
        <v>771.31889555476505</v>
      </c>
      <c r="E681" s="1">
        <v>1.1790121852956299</v>
      </c>
    </row>
    <row r="682" spans="1:5" x14ac:dyDescent="0.25">
      <c r="A682" s="2">
        <v>240</v>
      </c>
      <c r="B682" s="30" t="s">
        <v>150</v>
      </c>
      <c r="D682" s="1">
        <v>766.39082970074105</v>
      </c>
      <c r="E682" s="1">
        <v>1.19026637896427</v>
      </c>
    </row>
    <row r="683" spans="1:5" x14ac:dyDescent="0.25">
      <c r="A683" s="2">
        <v>240</v>
      </c>
      <c r="B683" s="30" t="s">
        <v>150</v>
      </c>
      <c r="D683" s="1">
        <v>774.91505171851202</v>
      </c>
      <c r="E683" s="1">
        <v>1.20777290244881</v>
      </c>
    </row>
    <row r="684" spans="1:5" x14ac:dyDescent="0.25">
      <c r="A684" s="2">
        <v>240</v>
      </c>
      <c r="B684" s="30" t="s">
        <v>150</v>
      </c>
      <c r="D684" s="1">
        <v>781.44140920086795</v>
      </c>
      <c r="E684" s="1">
        <v>1.21027383437517</v>
      </c>
    </row>
    <row r="685" spans="1:5" x14ac:dyDescent="0.25">
      <c r="A685" s="2">
        <v>240</v>
      </c>
      <c r="B685" s="30" t="s">
        <v>150</v>
      </c>
      <c r="D685" s="1">
        <v>784.10522858142201</v>
      </c>
      <c r="E685" s="1">
        <v>1.2390345515283501</v>
      </c>
    </row>
    <row r="686" spans="1:5" x14ac:dyDescent="0.25">
      <c r="A686" s="2">
        <v>240</v>
      </c>
      <c r="B686" s="30" t="s">
        <v>150</v>
      </c>
      <c r="D686" s="1">
        <v>796.89156160807897</v>
      </c>
      <c r="E686" s="1">
        <v>1.22194485003154</v>
      </c>
    </row>
    <row r="687" spans="1:5" x14ac:dyDescent="0.25">
      <c r="A687" s="2">
        <v>240</v>
      </c>
      <c r="B687" s="30" t="s">
        <v>150</v>
      </c>
      <c r="D687" s="1">
        <v>797.95708936030098</v>
      </c>
      <c r="E687" s="1">
        <v>1.1977691747433601</v>
      </c>
    </row>
    <row r="688" spans="1:5" x14ac:dyDescent="0.25">
      <c r="A688" s="2">
        <v>240</v>
      </c>
      <c r="B688" s="30" t="s">
        <v>150</v>
      </c>
      <c r="D688" s="1">
        <v>795.69284288683002</v>
      </c>
      <c r="E688" s="1">
        <v>1.1911000229397199</v>
      </c>
    </row>
    <row r="689" spans="1:5" x14ac:dyDescent="0.25">
      <c r="A689" s="2">
        <v>240</v>
      </c>
      <c r="B689" s="30" t="s">
        <v>150</v>
      </c>
      <c r="D689" s="1">
        <v>793.56178738238702</v>
      </c>
      <c r="E689" s="1">
        <v>1.1840140491483599</v>
      </c>
    </row>
    <row r="690" spans="1:5" x14ac:dyDescent="0.25">
      <c r="A690" s="2">
        <v>240</v>
      </c>
      <c r="B690" s="30" t="s">
        <v>150</v>
      </c>
      <c r="D690" s="1">
        <v>789.03329443544601</v>
      </c>
      <c r="E690" s="1">
        <v>1.15942155187245</v>
      </c>
    </row>
    <row r="691" spans="1:5" x14ac:dyDescent="0.25">
      <c r="A691" s="2">
        <v>240</v>
      </c>
      <c r="B691" s="30" t="s">
        <v>150</v>
      </c>
      <c r="D691" s="1">
        <v>804.08387393557405</v>
      </c>
      <c r="E691" s="1">
        <v>1.1802626512588099</v>
      </c>
    </row>
    <row r="692" spans="1:5" x14ac:dyDescent="0.25">
      <c r="A692" s="2">
        <v>240</v>
      </c>
      <c r="B692" s="30" t="s">
        <v>150</v>
      </c>
      <c r="D692" s="1">
        <v>816.33744308612097</v>
      </c>
      <c r="E692" s="1">
        <v>1.1777617193324501</v>
      </c>
    </row>
    <row r="693" spans="1:5" x14ac:dyDescent="0.25">
      <c r="A693" s="2">
        <v>240</v>
      </c>
      <c r="B693" s="30" t="s">
        <v>150</v>
      </c>
      <c r="D693" s="1">
        <v>823.39656444458797</v>
      </c>
      <c r="E693" s="1">
        <v>1.1602551958478999</v>
      </c>
    </row>
    <row r="694" spans="1:5" x14ac:dyDescent="0.25">
      <c r="A694" s="2">
        <v>240</v>
      </c>
      <c r="B694" s="30" t="s">
        <v>150</v>
      </c>
      <c r="D694" s="1">
        <v>824.86166510389205</v>
      </c>
      <c r="E694" s="1">
        <v>1.1385804524860901</v>
      </c>
    </row>
    <row r="695" spans="1:5" x14ac:dyDescent="0.25">
      <c r="A695" s="2">
        <v>240</v>
      </c>
      <c r="B695" s="30" t="s">
        <v>150</v>
      </c>
      <c r="D695" s="1">
        <v>829.12377611277805</v>
      </c>
      <c r="E695" s="1">
        <v>1.1494178241669999</v>
      </c>
    </row>
    <row r="696" spans="1:5" x14ac:dyDescent="0.25">
      <c r="A696" s="2">
        <v>240</v>
      </c>
      <c r="B696" s="30" t="s">
        <v>150</v>
      </c>
      <c r="D696" s="1">
        <v>835.51694262610704</v>
      </c>
      <c r="E696" s="1">
        <v>1.2061056144979001</v>
      </c>
    </row>
    <row r="697" spans="1:5" x14ac:dyDescent="0.25">
      <c r="A697" s="2">
        <v>240</v>
      </c>
      <c r="B697" s="30" t="s">
        <v>150</v>
      </c>
      <c r="D697" s="1">
        <v>826.32676576319705</v>
      </c>
      <c r="E697" s="1">
        <v>1.2273635358719901</v>
      </c>
    </row>
    <row r="698" spans="1:5" x14ac:dyDescent="0.25">
      <c r="A698" s="2">
        <v>240</v>
      </c>
      <c r="B698" s="30" t="s">
        <v>150</v>
      </c>
      <c r="D698" s="1">
        <v>822.99699153750498</v>
      </c>
      <c r="E698" s="1">
        <v>1.2123579443138099</v>
      </c>
    </row>
    <row r="699" spans="1:5" x14ac:dyDescent="0.25">
      <c r="A699" s="2">
        <v>240</v>
      </c>
      <c r="B699" s="30" t="s">
        <v>150</v>
      </c>
      <c r="D699" s="1">
        <v>820.99912700208995</v>
      </c>
      <c r="E699" s="1">
        <v>1.22194485003154</v>
      </c>
    </row>
    <row r="700" spans="1:5" x14ac:dyDescent="0.25">
      <c r="A700" s="2">
        <v>240</v>
      </c>
      <c r="B700" s="30" t="s">
        <v>150</v>
      </c>
      <c r="D700" s="1">
        <v>818.335307621536</v>
      </c>
      <c r="E700" s="1">
        <v>1.21861027412972</v>
      </c>
    </row>
    <row r="701" spans="1:5" x14ac:dyDescent="0.25">
      <c r="A701" s="2">
        <v>240</v>
      </c>
      <c r="B701" s="30" t="s">
        <v>150</v>
      </c>
      <c r="D701" s="1">
        <v>855.76196991831398</v>
      </c>
      <c r="E701" s="1">
        <v>1.1790121852956299</v>
      </c>
    </row>
    <row r="702" spans="1:5" x14ac:dyDescent="0.25">
      <c r="A702" s="2">
        <v>240</v>
      </c>
      <c r="B702" s="30" t="s">
        <v>150</v>
      </c>
      <c r="D702" s="1">
        <v>852.83176859970501</v>
      </c>
      <c r="E702" s="1">
        <v>1.1373299865229101</v>
      </c>
    </row>
    <row r="703" spans="1:5" x14ac:dyDescent="0.25">
      <c r="A703" s="2">
        <v>240</v>
      </c>
      <c r="B703" s="30" t="s">
        <v>150</v>
      </c>
      <c r="D703" s="1">
        <v>866.81682034761104</v>
      </c>
      <c r="E703" s="1">
        <v>1.13357858863336</v>
      </c>
    </row>
    <row r="704" spans="1:5" x14ac:dyDescent="0.25">
      <c r="A704" s="2">
        <v>240</v>
      </c>
      <c r="B704" s="30" t="s">
        <v>150</v>
      </c>
      <c r="D704" s="1">
        <v>878.271243683992</v>
      </c>
      <c r="E704" s="1">
        <v>1.1352458765842699</v>
      </c>
    </row>
    <row r="705" spans="1:5" x14ac:dyDescent="0.25">
      <c r="A705" s="2">
        <v>240</v>
      </c>
      <c r="B705" s="30" t="s">
        <v>150</v>
      </c>
      <c r="D705" s="1">
        <v>873.60955976802302</v>
      </c>
      <c r="E705" s="1">
        <v>1.1527524000688101</v>
      </c>
    </row>
    <row r="706" spans="1:5" x14ac:dyDescent="0.25">
      <c r="A706" s="2">
        <v>240</v>
      </c>
      <c r="B706" s="30" t="s">
        <v>150</v>
      </c>
      <c r="D706" s="1">
        <v>878.271243683992</v>
      </c>
      <c r="E706" s="1">
        <v>1.1740103214429001</v>
      </c>
    </row>
    <row r="707" spans="1:5" x14ac:dyDescent="0.25">
      <c r="A707" s="2">
        <v>240</v>
      </c>
      <c r="B707" s="30" t="s">
        <v>150</v>
      </c>
      <c r="D707" s="1">
        <v>875.07466042732801</v>
      </c>
      <c r="E707" s="1">
        <v>1.1990196407065401</v>
      </c>
    </row>
    <row r="708" spans="1:5" x14ac:dyDescent="0.25">
      <c r="A708" s="2">
        <v>240</v>
      </c>
      <c r="B708" s="30" t="s">
        <v>150</v>
      </c>
      <c r="D708" s="1">
        <v>870.67935844941405</v>
      </c>
      <c r="E708" s="1">
        <v>1.20693925847336</v>
      </c>
    </row>
    <row r="709" spans="1:5" x14ac:dyDescent="0.25">
      <c r="A709" s="2">
        <v>240</v>
      </c>
      <c r="B709" s="30" t="s">
        <v>150</v>
      </c>
      <c r="D709" s="1">
        <v>874.94146945830005</v>
      </c>
      <c r="E709" s="1">
        <v>1.2336158656878999</v>
      </c>
    </row>
    <row r="710" spans="1:5" x14ac:dyDescent="0.25">
      <c r="A710" s="2">
        <v>250</v>
      </c>
      <c r="B710" s="33" t="s">
        <v>151</v>
      </c>
      <c r="C710" s="31"/>
      <c r="D710" s="1">
        <v>783.01124876114898</v>
      </c>
      <c r="E710" s="1">
        <v>0.94710507505360897</v>
      </c>
    </row>
    <row r="711" spans="1:5" x14ac:dyDescent="0.25">
      <c r="A711" s="2">
        <v>250</v>
      </c>
      <c r="B711" t="s">
        <v>151</v>
      </c>
      <c r="C711" s="3"/>
      <c r="D711" s="1">
        <v>829.39380574826498</v>
      </c>
      <c r="E711" s="1">
        <v>0.97684060042887699</v>
      </c>
    </row>
    <row r="712" spans="1:5" x14ac:dyDescent="0.25">
      <c r="A712" s="2">
        <v>250</v>
      </c>
      <c r="B712" t="s">
        <v>151</v>
      </c>
      <c r="C712" s="3"/>
      <c r="D712" s="1">
        <v>878.35317145688794</v>
      </c>
      <c r="E712" s="1">
        <v>1.03688348820586</v>
      </c>
    </row>
    <row r="713" spans="1:5" x14ac:dyDescent="0.25">
      <c r="A713" s="2">
        <v>250</v>
      </c>
      <c r="B713" t="s">
        <v>151</v>
      </c>
      <c r="C713" s="3"/>
      <c r="D713" s="1">
        <v>926.519672943508</v>
      </c>
      <c r="E713" s="1">
        <v>1.03688348820586</v>
      </c>
    </row>
    <row r="714" spans="1:5" x14ac:dyDescent="0.25">
      <c r="A714" s="2">
        <v>250</v>
      </c>
      <c r="B714" t="s">
        <v>151</v>
      </c>
      <c r="C714" s="3"/>
      <c r="D714" s="1">
        <v>975.47903865212993</v>
      </c>
      <c r="E714" s="1">
        <v>1.09692637598284</v>
      </c>
    </row>
    <row r="715" spans="1:5" x14ac:dyDescent="0.25">
      <c r="A715" s="2">
        <v>250</v>
      </c>
      <c r="B715" t="s">
        <v>151</v>
      </c>
      <c r="C715" s="3"/>
      <c r="D715" s="1">
        <v>1026.420564915758</v>
      </c>
      <c r="E715" s="1">
        <v>1.13752680486061</v>
      </c>
    </row>
    <row r="716" spans="1:5" x14ac:dyDescent="0.25">
      <c r="A716" s="2">
        <v>250</v>
      </c>
      <c r="B716" t="s">
        <v>151</v>
      </c>
      <c r="C716" s="3"/>
      <c r="D716" s="1">
        <v>1074.587066402378</v>
      </c>
      <c r="E716" s="1">
        <v>1.11751250893495</v>
      </c>
    </row>
    <row r="717" spans="1:5" x14ac:dyDescent="0.25">
      <c r="A717" s="2">
        <v>260</v>
      </c>
      <c r="B717" t="s">
        <v>152</v>
      </c>
      <c r="D717" s="1">
        <v>733</v>
      </c>
      <c r="E717" s="1">
        <f t="shared" ref="E717:E736" si="1">1.365-(0.00025)*D717</f>
        <v>1.1817500000000001</v>
      </c>
    </row>
    <row r="718" spans="1:5" x14ac:dyDescent="0.25">
      <c r="A718" s="2">
        <v>260</v>
      </c>
      <c r="B718" t="s">
        <v>152</v>
      </c>
      <c r="D718" s="1">
        <v>755</v>
      </c>
      <c r="E718" s="1">
        <f t="shared" si="1"/>
        <v>1.17625</v>
      </c>
    </row>
    <row r="719" spans="1:5" x14ac:dyDescent="0.25">
      <c r="A719" s="2">
        <v>260</v>
      </c>
      <c r="B719" t="s">
        <v>152</v>
      </c>
      <c r="D719" s="1">
        <v>777</v>
      </c>
      <c r="E719" s="1">
        <f t="shared" si="1"/>
        <v>1.17075</v>
      </c>
    </row>
    <row r="720" spans="1:5" x14ac:dyDescent="0.25">
      <c r="A720" s="2">
        <v>260</v>
      </c>
      <c r="B720" t="s">
        <v>152</v>
      </c>
      <c r="D720" s="1">
        <v>799</v>
      </c>
      <c r="E720" s="1">
        <f t="shared" si="1"/>
        <v>1.1652499999999999</v>
      </c>
    </row>
    <row r="721" spans="1:5" x14ac:dyDescent="0.25">
      <c r="A721" s="2">
        <v>260</v>
      </c>
      <c r="B721" t="s">
        <v>152</v>
      </c>
      <c r="D721" s="1">
        <v>821</v>
      </c>
      <c r="E721" s="1">
        <f t="shared" si="1"/>
        <v>1.1597500000000001</v>
      </c>
    </row>
    <row r="722" spans="1:5" x14ac:dyDescent="0.25">
      <c r="A722" s="2">
        <v>260</v>
      </c>
      <c r="B722" t="s">
        <v>152</v>
      </c>
      <c r="D722" s="1">
        <v>843</v>
      </c>
      <c r="E722" s="1">
        <f t="shared" si="1"/>
        <v>1.15425</v>
      </c>
    </row>
    <row r="723" spans="1:5" x14ac:dyDescent="0.25">
      <c r="A723" s="2">
        <v>260</v>
      </c>
      <c r="B723" t="s">
        <v>152</v>
      </c>
      <c r="D723" s="1">
        <v>865</v>
      </c>
      <c r="E723" s="1">
        <f t="shared" si="1"/>
        <v>1.1487499999999999</v>
      </c>
    </row>
    <row r="724" spans="1:5" x14ac:dyDescent="0.25">
      <c r="A724" s="2">
        <v>260</v>
      </c>
      <c r="B724" t="s">
        <v>152</v>
      </c>
      <c r="D724" s="1">
        <v>887</v>
      </c>
      <c r="E724" s="1">
        <f t="shared" si="1"/>
        <v>1.1432500000000001</v>
      </c>
    </row>
    <row r="725" spans="1:5" x14ac:dyDescent="0.25">
      <c r="A725" s="2">
        <v>260</v>
      </c>
      <c r="B725" t="s">
        <v>152</v>
      </c>
      <c r="D725" s="1">
        <v>909</v>
      </c>
      <c r="E725" s="1">
        <f t="shared" si="1"/>
        <v>1.13775</v>
      </c>
    </row>
    <row r="726" spans="1:5" x14ac:dyDescent="0.25">
      <c r="A726" s="2">
        <v>260</v>
      </c>
      <c r="B726" t="s">
        <v>152</v>
      </c>
      <c r="D726" s="1">
        <v>931</v>
      </c>
      <c r="E726" s="1">
        <f t="shared" si="1"/>
        <v>1.13225</v>
      </c>
    </row>
    <row r="727" spans="1:5" x14ac:dyDescent="0.25">
      <c r="A727" s="2">
        <v>260</v>
      </c>
      <c r="B727" t="s">
        <v>152</v>
      </c>
      <c r="D727" s="1">
        <v>953</v>
      </c>
      <c r="E727" s="1">
        <f t="shared" si="1"/>
        <v>1.1267499999999999</v>
      </c>
    </row>
    <row r="728" spans="1:5" x14ac:dyDescent="0.25">
      <c r="A728" s="2">
        <v>260</v>
      </c>
      <c r="B728" t="s">
        <v>152</v>
      </c>
      <c r="D728" s="1">
        <v>975</v>
      </c>
      <c r="E728" s="1">
        <f t="shared" si="1"/>
        <v>1.1212500000000001</v>
      </c>
    </row>
    <row r="729" spans="1:5" x14ac:dyDescent="0.25">
      <c r="A729" s="2">
        <v>260</v>
      </c>
      <c r="B729" t="s">
        <v>152</v>
      </c>
      <c r="D729" s="1">
        <v>997</v>
      </c>
      <c r="E729" s="1">
        <f t="shared" si="1"/>
        <v>1.11575</v>
      </c>
    </row>
    <row r="730" spans="1:5" x14ac:dyDescent="0.25">
      <c r="A730" s="2">
        <v>260</v>
      </c>
      <c r="B730" t="s">
        <v>152</v>
      </c>
      <c r="D730" s="1">
        <v>1019</v>
      </c>
      <c r="E730" s="1">
        <f t="shared" si="1"/>
        <v>1.11025</v>
      </c>
    </row>
    <row r="731" spans="1:5" x14ac:dyDescent="0.25">
      <c r="A731" s="2">
        <v>260</v>
      </c>
      <c r="B731" t="s">
        <v>152</v>
      </c>
      <c r="D731" s="1">
        <v>1041</v>
      </c>
      <c r="E731" s="1">
        <f t="shared" si="1"/>
        <v>1.1047500000000001</v>
      </c>
    </row>
    <row r="732" spans="1:5" x14ac:dyDescent="0.25">
      <c r="A732" s="2">
        <v>260</v>
      </c>
      <c r="B732" t="s">
        <v>152</v>
      </c>
      <c r="D732" s="1">
        <v>1063</v>
      </c>
      <c r="E732" s="1">
        <f t="shared" si="1"/>
        <v>1.0992500000000001</v>
      </c>
    </row>
    <row r="733" spans="1:5" x14ac:dyDescent="0.25">
      <c r="A733" s="2">
        <v>260</v>
      </c>
      <c r="B733" t="s">
        <v>152</v>
      </c>
      <c r="D733" s="1">
        <v>1085</v>
      </c>
      <c r="E733" s="1">
        <f t="shared" si="1"/>
        <v>1.09375</v>
      </c>
    </row>
    <row r="734" spans="1:5" x14ac:dyDescent="0.25">
      <c r="A734" s="2">
        <v>260</v>
      </c>
      <c r="B734" t="s">
        <v>152</v>
      </c>
      <c r="D734" s="1">
        <v>1107</v>
      </c>
      <c r="E734" s="1">
        <f t="shared" si="1"/>
        <v>1.0882499999999999</v>
      </c>
    </row>
    <row r="735" spans="1:5" x14ac:dyDescent="0.25">
      <c r="A735" s="2">
        <v>260</v>
      </c>
      <c r="B735" t="s">
        <v>152</v>
      </c>
      <c r="D735" s="1">
        <v>1129</v>
      </c>
      <c r="E735" s="1">
        <f t="shared" si="1"/>
        <v>1.0827499999999999</v>
      </c>
    </row>
    <row r="736" spans="1:5" x14ac:dyDescent="0.25">
      <c r="A736" s="2">
        <v>260</v>
      </c>
      <c r="B736" t="s">
        <v>152</v>
      </c>
      <c r="D736" s="1">
        <v>1150</v>
      </c>
      <c r="E736" s="1">
        <f t="shared" si="1"/>
        <v>1.0774999999999999</v>
      </c>
    </row>
    <row r="737" spans="1:8" x14ac:dyDescent="0.25">
      <c r="A737" s="2">
        <v>270</v>
      </c>
      <c r="B737" t="s">
        <v>153</v>
      </c>
      <c r="D737" s="1">
        <v>792.88235294117601</v>
      </c>
      <c r="E737" s="1">
        <v>0.64386317907444601</v>
      </c>
    </row>
    <row r="738" spans="1:8" x14ac:dyDescent="0.25">
      <c r="A738" s="2">
        <v>270</v>
      </c>
      <c r="B738" t="s">
        <v>153</v>
      </c>
      <c r="D738" s="1">
        <v>872.82352941176396</v>
      </c>
      <c r="E738" s="1">
        <v>0.62474849094567397</v>
      </c>
    </row>
    <row r="739" spans="1:8" x14ac:dyDescent="0.25">
      <c r="A739" s="2">
        <v>270</v>
      </c>
      <c r="B739" t="s">
        <v>153</v>
      </c>
      <c r="D739" s="1">
        <v>922.94117647058795</v>
      </c>
      <c r="E739" s="1">
        <v>0.62776659959758496</v>
      </c>
    </row>
    <row r="740" spans="1:8" x14ac:dyDescent="0.25">
      <c r="A740" s="2">
        <v>270</v>
      </c>
      <c r="B740" t="s">
        <v>153</v>
      </c>
      <c r="D740" s="1">
        <v>972.88235294117601</v>
      </c>
      <c r="E740" s="1">
        <v>0.60965794768611603</v>
      </c>
    </row>
    <row r="741" spans="1:8" x14ac:dyDescent="0.25">
      <c r="A741" s="2">
        <v>280</v>
      </c>
      <c r="B741" t="s">
        <v>154</v>
      </c>
      <c r="D741" s="1">
        <v>822.88235294117601</v>
      </c>
      <c r="E741" s="1">
        <v>0.59456740442655898</v>
      </c>
    </row>
    <row r="742" spans="1:8" x14ac:dyDescent="0.25">
      <c r="A742" s="2">
        <v>280</v>
      </c>
      <c r="B742" t="s">
        <v>154</v>
      </c>
      <c r="D742" s="1">
        <v>873</v>
      </c>
      <c r="E742" s="1">
        <v>0.53319919517102599</v>
      </c>
    </row>
    <row r="743" spans="1:8" x14ac:dyDescent="0.25">
      <c r="A743" s="2">
        <v>280</v>
      </c>
      <c r="B743" t="s">
        <v>154</v>
      </c>
      <c r="D743" s="1">
        <v>922.94117647058795</v>
      </c>
      <c r="E743" s="1">
        <v>0.54124748490945596</v>
      </c>
    </row>
    <row r="744" spans="1:8" x14ac:dyDescent="0.25">
      <c r="A744" s="2">
        <v>280</v>
      </c>
      <c r="B744" t="s">
        <v>154</v>
      </c>
      <c r="D744" s="1">
        <v>973.05882352941103</v>
      </c>
      <c r="E744" s="1">
        <v>0.558350100603621</v>
      </c>
    </row>
    <row r="745" spans="1:8" x14ac:dyDescent="0.25">
      <c r="A745" s="2">
        <v>290</v>
      </c>
      <c r="B745" t="s">
        <v>174</v>
      </c>
      <c r="D745" s="1">
        <v>792.94975688816805</v>
      </c>
      <c r="E745" s="1">
        <v>0.58324924318869797</v>
      </c>
    </row>
    <row r="746" spans="1:8" x14ac:dyDescent="0.25">
      <c r="A746" s="2">
        <v>290</v>
      </c>
      <c r="B746" t="s">
        <v>174</v>
      </c>
      <c r="D746" s="1">
        <v>822.93354943273903</v>
      </c>
      <c r="E746" s="1">
        <v>0.54793138244197703</v>
      </c>
    </row>
    <row r="747" spans="1:8" x14ac:dyDescent="0.25">
      <c r="A747" s="2">
        <v>290</v>
      </c>
      <c r="B747" t="s">
        <v>174</v>
      </c>
      <c r="D747" s="1">
        <v>923.01458670988598</v>
      </c>
      <c r="E747" s="1">
        <v>0.54389505549949502</v>
      </c>
    </row>
    <row r="748" spans="1:8" x14ac:dyDescent="0.25">
      <c r="A748" s="2">
        <v>290</v>
      </c>
      <c r="B748" t="s">
        <v>174</v>
      </c>
      <c r="D748" s="1">
        <v>1022.69043760129</v>
      </c>
      <c r="E748" s="1">
        <v>0.55499495459132198</v>
      </c>
    </row>
    <row r="749" spans="1:8" x14ac:dyDescent="0.25">
      <c r="A749" s="2">
        <v>290</v>
      </c>
      <c r="B749" t="s">
        <v>174</v>
      </c>
      <c r="D749" s="1">
        <v>1122.7714748784399</v>
      </c>
      <c r="E749" s="1">
        <v>0.525731584258325</v>
      </c>
    </row>
    <row r="750" spans="1:8" x14ac:dyDescent="0.25">
      <c r="A750" s="2">
        <v>290</v>
      </c>
      <c r="B750" t="s">
        <v>174</v>
      </c>
      <c r="D750" s="1">
        <v>1222.8525121555899</v>
      </c>
      <c r="E750" s="1">
        <v>0.49646821392532797</v>
      </c>
    </row>
    <row r="751" spans="1:8" x14ac:dyDescent="0.25">
      <c r="A751" s="2">
        <v>300</v>
      </c>
      <c r="B751" t="s">
        <v>173</v>
      </c>
      <c r="D751" s="1">
        <v>849.27066450567202</v>
      </c>
      <c r="E751" s="1">
        <v>0.45610494450050398</v>
      </c>
      <c r="G751">
        <v>848.531914893617</v>
      </c>
      <c r="H751">
        <v>0.45589060308555401</v>
      </c>
    </row>
    <row r="752" spans="1:8" x14ac:dyDescent="0.25">
      <c r="A752" s="2">
        <v>300</v>
      </c>
      <c r="B752" t="s">
        <v>173</v>
      </c>
      <c r="D752" s="1">
        <v>874.39222042139295</v>
      </c>
      <c r="E752" s="1">
        <v>0.43995963673057498</v>
      </c>
      <c r="G752">
        <v>874.063829787234</v>
      </c>
      <c r="H752">
        <v>0.440322580645161</v>
      </c>
    </row>
    <row r="753" spans="1:9" x14ac:dyDescent="0.25">
      <c r="A753" s="2">
        <v>300</v>
      </c>
      <c r="B753" t="s">
        <v>173</v>
      </c>
      <c r="D753" s="1">
        <v>899.10858995137698</v>
      </c>
      <c r="E753" s="1">
        <v>0.42684157416750701</v>
      </c>
      <c r="G753">
        <v>899.063829787234</v>
      </c>
      <c r="H753">
        <v>0.42769985974754499</v>
      </c>
    </row>
    <row r="754" spans="1:9" x14ac:dyDescent="0.25">
      <c r="A754" s="2">
        <v>310</v>
      </c>
      <c r="B754" t="s">
        <v>175</v>
      </c>
      <c r="D754">
        <v>1070</v>
      </c>
      <c r="E754" s="1">
        <v>1.1213120000000001</v>
      </c>
    </row>
    <row r="755" spans="1:9" x14ac:dyDescent="0.25">
      <c r="A755" s="2">
        <v>310</v>
      </c>
      <c r="B755" t="s">
        <v>175</v>
      </c>
      <c r="D755">
        <v>1080</v>
      </c>
      <c r="E755" s="1">
        <v>1.2564552000000002</v>
      </c>
    </row>
    <row r="756" spans="1:9" x14ac:dyDescent="0.25">
      <c r="A756" s="2">
        <v>310</v>
      </c>
      <c r="B756" t="s">
        <v>175</v>
      </c>
      <c r="D756">
        <v>1090</v>
      </c>
      <c r="E756" s="1">
        <v>1.3698416000000002</v>
      </c>
    </row>
    <row r="757" spans="1:9" x14ac:dyDescent="0.25">
      <c r="A757" s="2">
        <v>310</v>
      </c>
      <c r="B757" t="s">
        <v>175</v>
      </c>
      <c r="D757">
        <v>1100</v>
      </c>
      <c r="E757" s="1">
        <v>1.4623080000000002</v>
      </c>
    </row>
    <row r="758" spans="1:9" x14ac:dyDescent="0.25">
      <c r="A758" s="2">
        <v>310</v>
      </c>
      <c r="B758" t="s">
        <v>175</v>
      </c>
      <c r="D758">
        <v>1110</v>
      </c>
      <c r="E758" s="1">
        <v>1.5330176</v>
      </c>
    </row>
    <row r="759" spans="1:9" x14ac:dyDescent="0.25">
      <c r="A759" s="2">
        <v>310</v>
      </c>
      <c r="B759" t="s">
        <v>175</v>
      </c>
      <c r="D759">
        <v>1120</v>
      </c>
      <c r="E759" s="1">
        <v>1.5823888000000002</v>
      </c>
    </row>
    <row r="760" spans="1:9" x14ac:dyDescent="0.25">
      <c r="A760" s="2">
        <v>310</v>
      </c>
      <c r="B760" t="s">
        <v>175</v>
      </c>
      <c r="D760">
        <v>1130</v>
      </c>
      <c r="E760" s="1">
        <v>1.6095848000000004</v>
      </c>
    </row>
    <row r="761" spans="1:9" x14ac:dyDescent="0.25">
      <c r="A761" s="2">
        <v>320</v>
      </c>
      <c r="B761" t="s">
        <v>155</v>
      </c>
      <c r="D761" s="1">
        <v>1099.77997799779</v>
      </c>
      <c r="E761" s="1">
        <v>1.0171489817792001</v>
      </c>
    </row>
    <row r="762" spans="1:9" x14ac:dyDescent="0.25">
      <c r="A762" s="2">
        <v>320</v>
      </c>
      <c r="B762" t="s">
        <v>155</v>
      </c>
      <c r="D762" s="1">
        <v>1199.88998899889</v>
      </c>
      <c r="E762" s="1">
        <v>0.99914255091103898</v>
      </c>
    </row>
    <row r="763" spans="1:9" x14ac:dyDescent="0.25">
      <c r="A763" s="2">
        <v>320</v>
      </c>
      <c r="B763" t="s">
        <v>155</v>
      </c>
      <c r="D763" s="1">
        <v>1249.8349834983401</v>
      </c>
      <c r="E763" s="1">
        <v>0.98713826366559398</v>
      </c>
    </row>
    <row r="764" spans="1:9" x14ac:dyDescent="0.25">
      <c r="A764" s="2">
        <v>320</v>
      </c>
      <c r="B764" t="s">
        <v>155</v>
      </c>
      <c r="D764" s="1">
        <v>1300</v>
      </c>
      <c r="E764" s="1">
        <v>0.98413719185423298</v>
      </c>
    </row>
    <row r="765" spans="1:9" x14ac:dyDescent="0.25">
      <c r="A765" s="2">
        <v>330</v>
      </c>
      <c r="B765" s="38" t="s">
        <v>156</v>
      </c>
      <c r="D765" s="1">
        <v>600</v>
      </c>
      <c r="E765" s="1">
        <v>0.69</v>
      </c>
      <c r="I765" t="s">
        <v>157</v>
      </c>
    </row>
    <row r="766" spans="1:9" x14ac:dyDescent="0.25">
      <c r="A766" s="2">
        <v>330</v>
      </c>
      <c r="B766" s="38" t="s">
        <v>156</v>
      </c>
      <c r="D766" s="1">
        <v>620</v>
      </c>
      <c r="E766" s="1">
        <v>0.69</v>
      </c>
    </row>
    <row r="767" spans="1:9" x14ac:dyDescent="0.25">
      <c r="A767" s="2">
        <v>330</v>
      </c>
      <c r="B767" s="38" t="s">
        <v>156</v>
      </c>
      <c r="D767" s="1">
        <v>640</v>
      </c>
      <c r="E767" s="1">
        <v>0.69</v>
      </c>
    </row>
    <row r="768" spans="1:9" x14ac:dyDescent="0.25">
      <c r="A768" s="2">
        <v>330</v>
      </c>
      <c r="B768" s="38" t="s">
        <v>156</v>
      </c>
      <c r="D768" s="1">
        <v>660</v>
      </c>
      <c r="E768" s="1">
        <v>0.69</v>
      </c>
    </row>
    <row r="769" spans="1:5" x14ac:dyDescent="0.25">
      <c r="A769" s="2">
        <v>330</v>
      </c>
      <c r="B769" s="38" t="s">
        <v>156</v>
      </c>
      <c r="D769" s="1">
        <v>680</v>
      </c>
      <c r="E769" s="1">
        <v>0.69</v>
      </c>
    </row>
    <row r="770" spans="1:5" x14ac:dyDescent="0.25">
      <c r="A770" s="2">
        <v>330</v>
      </c>
      <c r="B770" s="38" t="s">
        <v>156</v>
      </c>
      <c r="D770" s="1">
        <v>700</v>
      </c>
      <c r="E770" s="1">
        <v>0.69</v>
      </c>
    </row>
    <row r="771" spans="1:5" x14ac:dyDescent="0.25">
      <c r="A771" s="2">
        <v>330</v>
      </c>
      <c r="B771" s="38" t="s">
        <v>156</v>
      </c>
      <c r="D771" s="1">
        <v>720</v>
      </c>
      <c r="E771" s="1">
        <v>0.69</v>
      </c>
    </row>
    <row r="772" spans="1:5" x14ac:dyDescent="0.25">
      <c r="A772" s="2">
        <v>330</v>
      </c>
      <c r="B772" s="38" t="s">
        <v>156</v>
      </c>
      <c r="D772" s="1">
        <v>740</v>
      </c>
      <c r="E772" s="1">
        <v>0.69</v>
      </c>
    </row>
    <row r="773" spans="1:5" x14ac:dyDescent="0.25">
      <c r="A773" s="2">
        <v>330</v>
      </c>
      <c r="B773" s="38" t="s">
        <v>156</v>
      </c>
      <c r="D773" s="1">
        <v>760</v>
      </c>
      <c r="E773" s="1">
        <v>0.69</v>
      </c>
    </row>
    <row r="774" spans="1:5" x14ac:dyDescent="0.25">
      <c r="A774" s="2">
        <v>330</v>
      </c>
      <c r="B774" s="38" t="s">
        <v>156</v>
      </c>
      <c r="D774" s="1">
        <v>780</v>
      </c>
      <c r="E774" s="1">
        <v>0.69</v>
      </c>
    </row>
    <row r="775" spans="1:5" x14ac:dyDescent="0.25">
      <c r="A775" s="2">
        <v>330</v>
      </c>
      <c r="B775" s="38" t="s">
        <v>156</v>
      </c>
      <c r="D775" s="1">
        <v>800</v>
      </c>
      <c r="E775" s="1">
        <v>0.69</v>
      </c>
    </row>
    <row r="776" spans="1:5" x14ac:dyDescent="0.25">
      <c r="A776" s="2">
        <v>330</v>
      </c>
      <c r="B776" s="38" t="s">
        <v>156</v>
      </c>
      <c r="D776" s="1">
        <v>820</v>
      </c>
      <c r="E776" s="1">
        <v>0.69</v>
      </c>
    </row>
    <row r="777" spans="1:5" x14ac:dyDescent="0.25">
      <c r="A777" s="2">
        <v>330</v>
      </c>
      <c r="B777" s="38" t="s">
        <v>156</v>
      </c>
      <c r="D777" s="1">
        <v>840</v>
      </c>
      <c r="E777" s="1">
        <v>0.69</v>
      </c>
    </row>
    <row r="778" spans="1:5" x14ac:dyDescent="0.25">
      <c r="A778" s="2">
        <v>330</v>
      </c>
      <c r="B778" s="38" t="s">
        <v>156</v>
      </c>
      <c r="D778" s="1">
        <v>860</v>
      </c>
      <c r="E778" s="1">
        <v>0.69</v>
      </c>
    </row>
    <row r="779" spans="1:5" x14ac:dyDescent="0.25">
      <c r="A779" s="2">
        <v>330</v>
      </c>
      <c r="B779" s="38" t="s">
        <v>156</v>
      </c>
      <c r="D779" s="1">
        <v>880</v>
      </c>
      <c r="E779" s="1">
        <v>0.69</v>
      </c>
    </row>
    <row r="780" spans="1:5" x14ac:dyDescent="0.25">
      <c r="A780" s="2">
        <v>330</v>
      </c>
      <c r="B780" s="38" t="s">
        <v>156</v>
      </c>
      <c r="D780" s="1">
        <v>900</v>
      </c>
      <c r="E780" s="1">
        <v>0.69</v>
      </c>
    </row>
    <row r="781" spans="1:5" x14ac:dyDescent="0.25">
      <c r="A781" s="2">
        <v>330</v>
      </c>
      <c r="B781" s="38" t="s">
        <v>156</v>
      </c>
      <c r="D781" s="1">
        <v>920</v>
      </c>
      <c r="E781" s="1">
        <v>0.69</v>
      </c>
    </row>
    <row r="782" spans="1:5" x14ac:dyDescent="0.25">
      <c r="A782" s="2">
        <v>330</v>
      </c>
      <c r="B782" s="38" t="s">
        <v>156</v>
      </c>
      <c r="D782" s="1">
        <v>940</v>
      </c>
      <c r="E782" s="1">
        <v>0.69</v>
      </c>
    </row>
    <row r="783" spans="1:5" x14ac:dyDescent="0.25">
      <c r="A783" s="2">
        <v>330</v>
      </c>
      <c r="B783" s="38" t="s">
        <v>156</v>
      </c>
      <c r="D783" s="1">
        <v>960</v>
      </c>
      <c r="E783" s="1">
        <v>0.69</v>
      </c>
    </row>
    <row r="784" spans="1:5" x14ac:dyDescent="0.25">
      <c r="A784" s="2">
        <v>341</v>
      </c>
      <c r="B784" s="1" t="s">
        <v>158</v>
      </c>
      <c r="D784" s="1">
        <v>1000</v>
      </c>
      <c r="E784" s="1">
        <v>0.459822090437361</v>
      </c>
    </row>
    <row r="785" spans="1:5" x14ac:dyDescent="0.25">
      <c r="A785" s="2">
        <v>341</v>
      </c>
      <c r="B785" s="1" t="s">
        <v>158</v>
      </c>
      <c r="D785" s="1">
        <v>1200</v>
      </c>
      <c r="E785" s="1">
        <v>0.459822090437361</v>
      </c>
    </row>
    <row r="786" spans="1:5" x14ac:dyDescent="0.25">
      <c r="A786" s="2">
        <v>342</v>
      </c>
      <c r="B786" s="1" t="s">
        <v>159</v>
      </c>
      <c r="D786" s="1">
        <v>1000</v>
      </c>
      <c r="E786" s="1">
        <v>0.460711638250556</v>
      </c>
    </row>
    <row r="787" spans="1:5" x14ac:dyDescent="0.25">
      <c r="A787" s="2">
        <v>342</v>
      </c>
      <c r="B787" s="1" t="s">
        <v>159</v>
      </c>
      <c r="D787" s="1">
        <v>1200</v>
      </c>
      <c r="E787" s="1">
        <v>0.460711638250556</v>
      </c>
    </row>
    <row r="788" spans="1:5" x14ac:dyDescent="0.25">
      <c r="A788" s="2">
        <v>343</v>
      </c>
      <c r="B788" s="1" t="s">
        <v>160</v>
      </c>
      <c r="D788" s="1">
        <v>1000</v>
      </c>
      <c r="E788" s="1">
        <v>0.49162342475908</v>
      </c>
    </row>
    <row r="789" spans="1:5" x14ac:dyDescent="0.25">
      <c r="A789" s="2">
        <v>343</v>
      </c>
      <c r="B789" s="1" t="s">
        <v>160</v>
      </c>
      <c r="D789" s="1">
        <v>1200</v>
      </c>
      <c r="E789" s="1">
        <v>0.49162342475908</v>
      </c>
    </row>
    <row r="790" spans="1:5" x14ac:dyDescent="0.25">
      <c r="A790" s="2">
        <v>344</v>
      </c>
      <c r="B790" s="1" t="s">
        <v>161</v>
      </c>
      <c r="D790" s="1">
        <v>1000</v>
      </c>
      <c r="E790" s="1">
        <v>0.494292068198665</v>
      </c>
    </row>
    <row r="791" spans="1:5" x14ac:dyDescent="0.25">
      <c r="A791" s="2">
        <v>344</v>
      </c>
      <c r="B791" s="1" t="s">
        <v>161</v>
      </c>
      <c r="D791" s="1">
        <v>1200</v>
      </c>
      <c r="E791" s="1">
        <v>0.494292068198665</v>
      </c>
    </row>
    <row r="792" spans="1:5" x14ac:dyDescent="0.25">
      <c r="A792" s="2">
        <v>345</v>
      </c>
      <c r="B792" s="1" t="s">
        <v>162</v>
      </c>
      <c r="D792" s="1">
        <v>1000</v>
      </c>
      <c r="E792" s="1">
        <v>0.51786508524833197</v>
      </c>
    </row>
    <row r="793" spans="1:5" x14ac:dyDescent="0.25">
      <c r="A793" s="2">
        <v>345</v>
      </c>
      <c r="B793" s="1" t="s">
        <v>162</v>
      </c>
      <c r="D793" s="1">
        <v>1200</v>
      </c>
      <c r="E793" s="1">
        <v>0.51786508524833197</v>
      </c>
    </row>
    <row r="794" spans="1:5" x14ac:dyDescent="0.25">
      <c r="A794" s="2">
        <v>346</v>
      </c>
      <c r="B794" s="1" t="s">
        <v>163</v>
      </c>
      <c r="D794" s="1">
        <v>1000</v>
      </c>
      <c r="E794" s="1">
        <v>0.55255744996293499</v>
      </c>
    </row>
    <row r="795" spans="1:5" x14ac:dyDescent="0.25">
      <c r="A795" s="2">
        <v>346</v>
      </c>
      <c r="B795" s="1" t="s">
        <v>163</v>
      </c>
      <c r="D795" s="1">
        <v>1200</v>
      </c>
      <c r="E795" s="1">
        <v>0.55255744996293499</v>
      </c>
    </row>
    <row r="796" spans="1:5" x14ac:dyDescent="0.25">
      <c r="A796" s="2">
        <v>347</v>
      </c>
      <c r="B796" s="1" t="s">
        <v>164</v>
      </c>
      <c r="D796" s="1">
        <v>1000</v>
      </c>
      <c r="E796" s="1">
        <v>0.58413639733135603</v>
      </c>
    </row>
    <row r="797" spans="1:5" x14ac:dyDescent="0.25">
      <c r="A797" s="2">
        <v>347</v>
      </c>
      <c r="B797" s="1" t="s">
        <v>164</v>
      </c>
      <c r="D797" s="1">
        <v>1200</v>
      </c>
      <c r="E797" s="1">
        <v>0.58413639733135603</v>
      </c>
    </row>
    <row r="798" spans="1:5" x14ac:dyDescent="0.25">
      <c r="A798" s="2">
        <v>348</v>
      </c>
      <c r="B798" s="1" t="s">
        <v>165</v>
      </c>
      <c r="D798" s="1">
        <v>1000</v>
      </c>
      <c r="E798" s="1">
        <v>0.60748702742772398</v>
      </c>
    </row>
    <row r="799" spans="1:5" x14ac:dyDescent="0.25">
      <c r="A799" s="2">
        <v>348</v>
      </c>
      <c r="B799" s="1" t="s">
        <v>165</v>
      </c>
      <c r="D799" s="1">
        <v>1200</v>
      </c>
      <c r="E799" s="1">
        <v>0.60748702742772398</v>
      </c>
    </row>
    <row r="800" spans="1:5" x14ac:dyDescent="0.25">
      <c r="A800" s="2">
        <v>349</v>
      </c>
      <c r="B800" s="1" t="s">
        <v>166</v>
      </c>
      <c r="D800" s="1">
        <v>1000</v>
      </c>
      <c r="E800" s="1">
        <v>0.673091178650852</v>
      </c>
    </row>
    <row r="801" spans="1:5" x14ac:dyDescent="0.25">
      <c r="A801" s="2">
        <v>349</v>
      </c>
      <c r="B801" s="1" t="s">
        <v>166</v>
      </c>
      <c r="D801" s="1">
        <v>1200</v>
      </c>
      <c r="E801" s="1">
        <v>0.673091178650852</v>
      </c>
    </row>
    <row r="802" spans="1:5" x14ac:dyDescent="0.25">
      <c r="A802" s="2">
        <v>350</v>
      </c>
      <c r="B802" s="1" t="s">
        <v>167</v>
      </c>
      <c r="D802" s="1">
        <v>761.04532462229395</v>
      </c>
      <c r="E802" s="1">
        <v>0.59875486381322895</v>
      </c>
    </row>
    <row r="803" spans="1:5" x14ac:dyDescent="0.25">
      <c r="A803" s="2">
        <v>350</v>
      </c>
      <c r="B803" s="1" t="s">
        <v>167</v>
      </c>
      <c r="D803" s="1">
        <v>811.02490812576502</v>
      </c>
      <c r="E803" s="1">
        <v>0.57073929961089498</v>
      </c>
    </row>
    <row r="804" spans="1:5" x14ac:dyDescent="0.25">
      <c r="A804" s="2">
        <v>350</v>
      </c>
      <c r="B804" s="1" t="s">
        <v>167</v>
      </c>
      <c r="D804" s="1">
        <v>860.02449979583503</v>
      </c>
      <c r="E804" s="1">
        <v>0.51657587548638095</v>
      </c>
    </row>
    <row r="805" spans="1:5" x14ac:dyDescent="0.25">
      <c r="A805" s="2">
        <v>350</v>
      </c>
      <c r="B805" s="1" t="s">
        <v>167</v>
      </c>
      <c r="D805" s="1">
        <v>908.37076357697003</v>
      </c>
      <c r="E805" s="1">
        <v>0.498365758754864</v>
      </c>
    </row>
    <row r="806" spans="1:5" x14ac:dyDescent="0.25">
      <c r="A806" s="2">
        <v>350</v>
      </c>
      <c r="B806" s="1" t="s">
        <v>167</v>
      </c>
      <c r="D806" s="1">
        <v>958.350347080441</v>
      </c>
      <c r="E806" s="1">
        <v>0.49042801556420201</v>
      </c>
    </row>
    <row r="807" spans="1:5" x14ac:dyDescent="0.25">
      <c r="A807" s="2">
        <v>350</v>
      </c>
      <c r="B807" s="1" t="s">
        <v>167</v>
      </c>
      <c r="D807" s="1">
        <v>1008.32993058391</v>
      </c>
      <c r="E807" s="1">
        <v>0.50256809338521402</v>
      </c>
    </row>
    <row r="808" spans="1:5" x14ac:dyDescent="0.25">
      <c r="A808" s="2">
        <v>360</v>
      </c>
      <c r="B808" s="1" t="s">
        <v>168</v>
      </c>
      <c r="D808">
        <v>949.26108374384205</v>
      </c>
      <c r="E808">
        <v>0.48016284233900802</v>
      </c>
    </row>
    <row r="809" spans="1:5" x14ac:dyDescent="0.25">
      <c r="A809" s="2">
        <v>360</v>
      </c>
      <c r="B809" s="1" t="s">
        <v>168</v>
      </c>
      <c r="D809">
        <v>948.97959183673402</v>
      </c>
      <c r="E809">
        <v>0.35181347150259001</v>
      </c>
    </row>
    <row r="810" spans="1:5" x14ac:dyDescent="0.25">
      <c r="A810" s="2">
        <v>360</v>
      </c>
      <c r="B810" s="1" t="s">
        <v>168</v>
      </c>
      <c r="D810">
        <v>949.54257565094997</v>
      </c>
      <c r="E810">
        <v>0.32561065877127998</v>
      </c>
    </row>
    <row r="811" spans="1:5" x14ac:dyDescent="0.25">
      <c r="A811" s="2">
        <v>360</v>
      </c>
      <c r="B811" s="1" t="s">
        <v>168</v>
      </c>
      <c r="D811">
        <v>948.69809992962701</v>
      </c>
      <c r="E811">
        <v>0.31806069578090201</v>
      </c>
    </row>
    <row r="812" spans="1:5" x14ac:dyDescent="0.25">
      <c r="A812" s="2">
        <v>360</v>
      </c>
      <c r="B812" s="1" t="s">
        <v>168</v>
      </c>
      <c r="D812">
        <v>948.97959183673402</v>
      </c>
      <c r="E812">
        <v>0.280754996299037</v>
      </c>
    </row>
    <row r="813" spans="1:5" x14ac:dyDescent="0.25">
      <c r="A813" s="2">
        <v>360</v>
      </c>
      <c r="B813" s="1" t="s">
        <v>168</v>
      </c>
      <c r="D813">
        <v>974.31386347642501</v>
      </c>
      <c r="E813">
        <v>0.280754996299037</v>
      </c>
    </row>
    <row r="814" spans="1:5" x14ac:dyDescent="0.25">
      <c r="A814" s="2">
        <v>360</v>
      </c>
      <c r="B814" s="1" t="s">
        <v>168</v>
      </c>
      <c r="D814">
        <v>974.31386347642501</v>
      </c>
      <c r="E814">
        <v>0.35492227979274599</v>
      </c>
    </row>
    <row r="815" spans="1:5" x14ac:dyDescent="0.25">
      <c r="A815" s="2">
        <v>360</v>
      </c>
      <c r="B815" s="1" t="s">
        <v>168</v>
      </c>
      <c r="D815">
        <v>974.31386347642501</v>
      </c>
      <c r="E815">
        <v>0.36247224278312301</v>
      </c>
    </row>
    <row r="816" spans="1:5" x14ac:dyDescent="0.25">
      <c r="A816" s="2">
        <v>360</v>
      </c>
      <c r="B816" s="1" t="s">
        <v>168</v>
      </c>
      <c r="D816">
        <v>1003.30752990851</v>
      </c>
      <c r="E816">
        <v>0.360695780903034</v>
      </c>
    </row>
    <row r="817" spans="1:5" x14ac:dyDescent="0.25">
      <c r="A817" s="2">
        <v>360</v>
      </c>
      <c r="B817" s="1" t="s">
        <v>168</v>
      </c>
      <c r="D817">
        <v>1004.99648135116</v>
      </c>
      <c r="E817">
        <v>0.31761658031088003</v>
      </c>
    </row>
    <row r="818" spans="1:5" x14ac:dyDescent="0.25">
      <c r="A818" s="2">
        <v>360</v>
      </c>
      <c r="B818" s="1" t="s">
        <v>168</v>
      </c>
      <c r="D818">
        <v>1004.15200562983</v>
      </c>
      <c r="E818">
        <v>0.30518134715025902</v>
      </c>
    </row>
    <row r="819" spans="1:5" x14ac:dyDescent="0.25">
      <c r="A819" s="2">
        <v>360</v>
      </c>
      <c r="B819" s="1" t="s">
        <v>168</v>
      </c>
      <c r="D819">
        <v>1003.30752990851</v>
      </c>
      <c r="E819">
        <v>0.29008142116950397</v>
      </c>
    </row>
    <row r="820" spans="1:5" x14ac:dyDescent="0.25">
      <c r="A820" s="2">
        <v>360</v>
      </c>
      <c r="B820" s="1" t="s">
        <v>168</v>
      </c>
      <c r="D820">
        <v>1044.4053483462301</v>
      </c>
      <c r="E820">
        <v>0.28430792005921501</v>
      </c>
    </row>
    <row r="821" spans="1:5" x14ac:dyDescent="0.25">
      <c r="A821" s="2">
        <v>360</v>
      </c>
      <c r="B821" s="1" t="s">
        <v>168</v>
      </c>
      <c r="D821">
        <v>1044.4053483462301</v>
      </c>
      <c r="E821">
        <v>0.26343449296817101</v>
      </c>
    </row>
    <row r="822" spans="1:5" x14ac:dyDescent="0.25">
      <c r="A822" s="2">
        <v>360</v>
      </c>
      <c r="B822" s="1" t="s">
        <v>168</v>
      </c>
      <c r="D822">
        <v>1043.56087262491</v>
      </c>
      <c r="E822">
        <v>0.25810510732790498</v>
      </c>
    </row>
    <row r="823" spans="1:5" x14ac:dyDescent="0.25">
      <c r="A823" s="2">
        <v>360</v>
      </c>
      <c r="B823" s="1" t="s">
        <v>168</v>
      </c>
      <c r="D823">
        <v>1082.68824771287</v>
      </c>
      <c r="E823">
        <v>0.26920799407846002</v>
      </c>
    </row>
    <row r="824" spans="1:5" x14ac:dyDescent="0.25">
      <c r="A824" s="2">
        <v>360</v>
      </c>
      <c r="B824" s="1" t="s">
        <v>168</v>
      </c>
      <c r="D824">
        <v>1084.09570724841</v>
      </c>
      <c r="E824">
        <v>0.23678756476683899</v>
      </c>
    </row>
    <row r="825" spans="1:5" x14ac:dyDescent="0.25">
      <c r="A825" s="2">
        <v>360</v>
      </c>
      <c r="B825" s="1" t="s">
        <v>168</v>
      </c>
      <c r="D825">
        <v>1113.65235749472</v>
      </c>
      <c r="E825">
        <v>0.26343449296817101</v>
      </c>
    </row>
    <row r="826" spans="1:5" x14ac:dyDescent="0.25">
      <c r="A826" s="2">
        <v>360</v>
      </c>
      <c r="B826" s="1" t="s">
        <v>168</v>
      </c>
      <c r="D826">
        <v>1143.77199155524</v>
      </c>
      <c r="E826">
        <v>0.280754996299037</v>
      </c>
    </row>
    <row r="827" spans="1:5" x14ac:dyDescent="0.25">
      <c r="A827" s="2">
        <v>360</v>
      </c>
      <c r="B827" s="1" t="s">
        <v>168</v>
      </c>
      <c r="D827">
        <v>1143.77199155524</v>
      </c>
      <c r="E827">
        <v>0.21014063656550599</v>
      </c>
    </row>
    <row r="828" spans="1:5" x14ac:dyDescent="0.25">
      <c r="A828" s="2">
        <v>360</v>
      </c>
      <c r="B828" s="1" t="s">
        <v>168</v>
      </c>
      <c r="D828">
        <v>1143.49049964813</v>
      </c>
      <c r="E828">
        <v>0.196373056994818</v>
      </c>
    </row>
    <row r="829" spans="1:5" x14ac:dyDescent="0.25">
      <c r="A829" s="2">
        <v>360</v>
      </c>
      <c r="B829" s="1" t="s">
        <v>168</v>
      </c>
      <c r="D829">
        <v>953.76495425756502</v>
      </c>
      <c r="E829">
        <v>0.457957068837897</v>
      </c>
    </row>
    <row r="830" spans="1:5" x14ac:dyDescent="0.25">
      <c r="A830" s="2">
        <v>370</v>
      </c>
      <c r="B830" s="1" t="s">
        <v>169</v>
      </c>
      <c r="D830">
        <v>954.04644616467203</v>
      </c>
      <c r="E830">
        <v>0.59385640266469197</v>
      </c>
    </row>
    <row r="831" spans="1:5" x14ac:dyDescent="0.25">
      <c r="A831" s="2">
        <v>370</v>
      </c>
      <c r="B831" s="1" t="s">
        <v>169</v>
      </c>
      <c r="D831">
        <v>952.92047853624194</v>
      </c>
      <c r="E831">
        <v>0.45840118430791998</v>
      </c>
    </row>
    <row r="832" spans="1:5" x14ac:dyDescent="0.25">
      <c r="A832" s="2">
        <v>370</v>
      </c>
      <c r="B832" s="1" t="s">
        <v>169</v>
      </c>
      <c r="D832">
        <v>988.66995073891599</v>
      </c>
      <c r="E832">
        <v>0.45840118430791998</v>
      </c>
    </row>
    <row r="833" spans="1:5" x14ac:dyDescent="0.25">
      <c r="A833" s="2">
        <v>370</v>
      </c>
      <c r="B833" s="1" t="s">
        <v>169</v>
      </c>
      <c r="D833">
        <v>988.66995073891599</v>
      </c>
      <c r="E833">
        <v>0.40377498149518798</v>
      </c>
    </row>
    <row r="834" spans="1:5" x14ac:dyDescent="0.25">
      <c r="A834" s="2">
        <v>370</v>
      </c>
      <c r="B834" s="1" t="s">
        <v>169</v>
      </c>
      <c r="D834">
        <v>988.66995073891599</v>
      </c>
      <c r="E834">
        <v>0.38467801628423298</v>
      </c>
    </row>
    <row r="835" spans="1:5" x14ac:dyDescent="0.25">
      <c r="A835" s="2">
        <v>370</v>
      </c>
      <c r="B835" s="1" t="s">
        <v>169</v>
      </c>
      <c r="D835">
        <v>1033.4271639690301</v>
      </c>
      <c r="E835">
        <v>0.38245743893412198</v>
      </c>
    </row>
    <row r="836" spans="1:5" x14ac:dyDescent="0.25">
      <c r="A836" s="2">
        <v>370</v>
      </c>
      <c r="B836" s="1" t="s">
        <v>169</v>
      </c>
      <c r="D836">
        <v>1033.70865587614</v>
      </c>
      <c r="E836">
        <v>0.42864544781643199</v>
      </c>
    </row>
    <row r="837" spans="1:5" x14ac:dyDescent="0.25">
      <c r="A837" s="2">
        <v>370</v>
      </c>
      <c r="B837" s="1" t="s">
        <v>169</v>
      </c>
      <c r="D837">
        <v>1073.9619985925401</v>
      </c>
      <c r="E837">
        <v>0.43841598815692001</v>
      </c>
    </row>
    <row r="838" spans="1:5" x14ac:dyDescent="0.25">
      <c r="A838" s="2">
        <v>370</v>
      </c>
      <c r="B838" s="1" t="s">
        <v>169</v>
      </c>
      <c r="D838">
        <v>1074.2434904996401</v>
      </c>
      <c r="E838">
        <v>0.405107327905255</v>
      </c>
    </row>
    <row r="839" spans="1:5" x14ac:dyDescent="0.25">
      <c r="A839" s="2">
        <v>370</v>
      </c>
      <c r="B839" s="1" t="s">
        <v>169</v>
      </c>
      <c r="D839">
        <v>1073.9619985925401</v>
      </c>
      <c r="E839">
        <v>0.39400444115470001</v>
      </c>
    </row>
    <row r="840" spans="1:5" x14ac:dyDescent="0.25">
      <c r="A840" s="2">
        <v>380</v>
      </c>
      <c r="B840" s="1" t="s">
        <v>170</v>
      </c>
      <c r="D840">
        <v>933.49753694581204</v>
      </c>
      <c r="E840">
        <v>0.51658031088082801</v>
      </c>
    </row>
    <row r="841" spans="1:5" x14ac:dyDescent="0.25">
      <c r="A841" s="2">
        <v>381</v>
      </c>
      <c r="B841" s="1" t="s">
        <v>170</v>
      </c>
      <c r="D841">
        <v>950.66854327937995</v>
      </c>
      <c r="E841">
        <v>0.40022205773501102</v>
      </c>
    </row>
    <row r="842" spans="1:5" x14ac:dyDescent="0.25">
      <c r="A842" s="2">
        <v>382</v>
      </c>
      <c r="B842" s="1" t="s">
        <v>170</v>
      </c>
      <c r="D842">
        <v>971.49894440534797</v>
      </c>
      <c r="E842">
        <v>0.52413027387120603</v>
      </c>
    </row>
    <row r="843" spans="1:5" x14ac:dyDescent="0.25">
      <c r="A843" s="2">
        <v>383</v>
      </c>
      <c r="B843" s="1" t="s">
        <v>170</v>
      </c>
      <c r="D843">
        <v>988.951442646023</v>
      </c>
      <c r="E843">
        <v>0.42376017764618701</v>
      </c>
    </row>
    <row r="844" spans="1:5" x14ac:dyDescent="0.25">
      <c r="A844" s="2">
        <v>384</v>
      </c>
      <c r="B844" s="1" t="s">
        <v>170</v>
      </c>
      <c r="D844">
        <v>1009.50035186488</v>
      </c>
      <c r="E844">
        <v>0.489489267209474</v>
      </c>
    </row>
    <row r="845" spans="1:5" x14ac:dyDescent="0.25">
      <c r="D845">
        <v>749.595744680851</v>
      </c>
      <c r="E845">
        <v>0.51921458625525896</v>
      </c>
    </row>
    <row r="846" spans="1:5" x14ac:dyDescent="0.25">
      <c r="D846">
        <v>774.063829787234</v>
      </c>
      <c r="E846">
        <v>0.48828892005609997</v>
      </c>
    </row>
    <row r="847" spans="1:5" x14ac:dyDescent="0.25">
      <c r="D847">
        <v>799.063829787234</v>
      </c>
      <c r="E847">
        <v>0.46136044880785398</v>
      </c>
    </row>
    <row r="848" spans="1:5" x14ac:dyDescent="0.25">
      <c r="D848">
        <v>824.32978723404199</v>
      </c>
      <c r="E848">
        <v>0.46619915848527299</v>
      </c>
    </row>
    <row r="849" spans="4:5" x14ac:dyDescent="0.25">
      <c r="D849">
        <v>848.531914893617</v>
      </c>
      <c r="E849">
        <v>0.45589060308555401</v>
      </c>
    </row>
    <row r="850" spans="4:5" x14ac:dyDescent="0.25">
      <c r="D850">
        <v>874.063829787234</v>
      </c>
      <c r="E850">
        <v>0.440322580645161</v>
      </c>
    </row>
    <row r="851" spans="4:5" x14ac:dyDescent="0.25">
      <c r="D851">
        <v>899.063829787234</v>
      </c>
      <c r="E851">
        <v>0.42769985974754499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A5FC-A596-4685-A4F5-5B8BC5A0FAA7}">
  <dimension ref="A1:E14"/>
  <sheetViews>
    <sheetView workbookViewId="0">
      <selection sqref="A1:E14"/>
    </sheetView>
  </sheetViews>
  <sheetFormatPr defaultRowHeight="15" x14ac:dyDescent="0.25"/>
  <sheetData>
    <row r="1" spans="1:5" x14ac:dyDescent="0.25">
      <c r="A1" s="2">
        <v>230</v>
      </c>
      <c r="B1" s="30" t="s">
        <v>149</v>
      </c>
      <c r="D1" s="1">
        <v>459</v>
      </c>
      <c r="E1" s="1">
        <v>1.59</v>
      </c>
    </row>
    <row r="2" spans="1:5" x14ac:dyDescent="0.25">
      <c r="A2" s="2">
        <v>230</v>
      </c>
      <c r="B2" s="30" t="s">
        <v>149</v>
      </c>
      <c r="D2" s="1">
        <v>472</v>
      </c>
      <c r="E2" s="1">
        <v>1.54</v>
      </c>
    </row>
    <row r="3" spans="1:5" x14ac:dyDescent="0.25">
      <c r="A3" s="2">
        <v>230</v>
      </c>
      <c r="B3" s="30" t="s">
        <v>149</v>
      </c>
      <c r="D3" s="1">
        <v>474</v>
      </c>
      <c r="E3" s="1">
        <v>1.65</v>
      </c>
    </row>
    <row r="4" spans="1:5" x14ac:dyDescent="0.25">
      <c r="A4" s="2">
        <v>230</v>
      </c>
      <c r="B4" s="30" t="s">
        <v>149</v>
      </c>
      <c r="D4" s="1">
        <v>500</v>
      </c>
      <c r="E4" s="1">
        <v>1.61</v>
      </c>
    </row>
    <row r="5" spans="1:5" x14ac:dyDescent="0.25">
      <c r="A5" s="2">
        <v>230</v>
      </c>
      <c r="B5" s="30" t="s">
        <v>149</v>
      </c>
      <c r="D5" s="1">
        <v>516</v>
      </c>
      <c r="E5" s="1">
        <v>1.54</v>
      </c>
    </row>
    <row r="6" spans="1:5" x14ac:dyDescent="0.25">
      <c r="A6" s="2">
        <v>230</v>
      </c>
      <c r="B6" s="30" t="s">
        <v>149</v>
      </c>
      <c r="D6" s="1">
        <v>544</v>
      </c>
      <c r="E6" s="1">
        <v>1.52</v>
      </c>
    </row>
    <row r="7" spans="1:5" x14ac:dyDescent="0.25">
      <c r="A7" s="2">
        <v>230</v>
      </c>
      <c r="B7" s="30" t="s">
        <v>149</v>
      </c>
      <c r="D7" s="1">
        <v>570</v>
      </c>
      <c r="E7" s="1">
        <v>1.51</v>
      </c>
    </row>
    <row r="8" spans="1:5" x14ac:dyDescent="0.25">
      <c r="A8" s="2">
        <v>230</v>
      </c>
      <c r="B8" s="30" t="s">
        <v>149</v>
      </c>
      <c r="D8" s="1">
        <v>600</v>
      </c>
      <c r="E8" s="1">
        <v>1.55</v>
      </c>
    </row>
    <row r="9" spans="1:5" x14ac:dyDescent="0.25">
      <c r="A9" s="2">
        <v>230</v>
      </c>
      <c r="B9" s="30" t="s">
        <v>149</v>
      </c>
      <c r="D9" s="1">
        <v>622</v>
      </c>
      <c r="E9" s="1">
        <v>1.61</v>
      </c>
    </row>
    <row r="10" spans="1:5" x14ac:dyDescent="0.25">
      <c r="A10" s="2">
        <v>230</v>
      </c>
      <c r="B10" s="30" t="s">
        <v>149</v>
      </c>
      <c r="D10" s="1">
        <v>648</v>
      </c>
      <c r="E10" s="1">
        <v>1.53</v>
      </c>
    </row>
    <row r="11" spans="1:5" x14ac:dyDescent="0.25">
      <c r="A11" s="2">
        <v>230</v>
      </c>
      <c r="B11" s="30" t="s">
        <v>149</v>
      </c>
      <c r="D11" s="1">
        <v>671</v>
      </c>
      <c r="E11" s="1">
        <v>1.26</v>
      </c>
    </row>
    <row r="12" spans="1:5" x14ac:dyDescent="0.25">
      <c r="A12" s="2">
        <v>230</v>
      </c>
      <c r="B12" s="30" t="s">
        <v>149</v>
      </c>
      <c r="D12" s="1">
        <v>671</v>
      </c>
      <c r="E12" s="1">
        <v>1.32</v>
      </c>
    </row>
    <row r="13" spans="1:5" x14ac:dyDescent="0.25">
      <c r="A13" s="2">
        <v>230</v>
      </c>
      <c r="B13" s="30" t="s">
        <v>149</v>
      </c>
      <c r="D13" s="1">
        <v>697</v>
      </c>
      <c r="E13" s="1">
        <v>1.26</v>
      </c>
    </row>
    <row r="14" spans="1:5" x14ac:dyDescent="0.25">
      <c r="A14" s="2">
        <v>230</v>
      </c>
      <c r="B14" s="30" t="s">
        <v>149</v>
      </c>
      <c r="D14" s="1">
        <v>720</v>
      </c>
      <c r="E14" s="1">
        <v>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C1F0-AD48-443B-BC82-4E2B7B84F760}">
  <dimension ref="B1:N15"/>
  <sheetViews>
    <sheetView workbookViewId="0">
      <selection activeCell="M15" sqref="M15"/>
    </sheetView>
  </sheetViews>
  <sheetFormatPr defaultRowHeight="15" x14ac:dyDescent="0.25"/>
  <cols>
    <col min="4" max="4" width="11" bestFit="1" customWidth="1"/>
  </cols>
  <sheetData>
    <row r="1" spans="2:14" x14ac:dyDescent="0.25">
      <c r="B1" t="s">
        <v>93</v>
      </c>
      <c r="C1" t="s">
        <v>94</v>
      </c>
      <c r="D1" t="s">
        <v>95</v>
      </c>
      <c r="E1" t="s">
        <v>96</v>
      </c>
      <c r="G1" t="s">
        <v>93</v>
      </c>
      <c r="H1" t="s">
        <v>94</v>
      </c>
      <c r="I1" t="s">
        <v>100</v>
      </c>
      <c r="J1" t="s">
        <v>99</v>
      </c>
      <c r="L1" t="s">
        <v>94</v>
      </c>
      <c r="M1" t="s">
        <v>98</v>
      </c>
      <c r="N1" t="s">
        <v>97</v>
      </c>
    </row>
    <row r="2" spans="2:14" x14ac:dyDescent="0.25">
      <c r="B2">
        <v>596</v>
      </c>
      <c r="C2">
        <f>B2+273.15</f>
        <v>869.15</v>
      </c>
      <c r="D2">
        <f>E2/100^2</f>
        <v>1.6E-7</v>
      </c>
      <c r="E2">
        <v>1.6000000000000001E-3</v>
      </c>
      <c r="G2">
        <v>550</v>
      </c>
      <c r="H2">
        <f>G2+273.15</f>
        <v>823.15</v>
      </c>
      <c r="I2">
        <f>J2*1000</f>
        <v>591</v>
      </c>
      <c r="J2">
        <v>0.59099999999999997</v>
      </c>
      <c r="L2">
        <v>903.79403794037898</v>
      </c>
      <c r="M2">
        <f>N2*100^3/1000</f>
        <v>2788.1656804733702</v>
      </c>
      <c r="N2">
        <v>2.7881656804733699</v>
      </c>
    </row>
    <row r="3" spans="2:14" x14ac:dyDescent="0.25">
      <c r="B3">
        <v>648</v>
      </c>
      <c r="C3">
        <f t="shared" ref="C3:C6" si="0">B3+273.15</f>
        <v>921.15</v>
      </c>
      <c r="D3">
        <f t="shared" ref="D3:D6" si="1">E3/100^2</f>
        <v>1.9000000000000001E-7</v>
      </c>
      <c r="E3">
        <v>1.9E-3</v>
      </c>
      <c r="G3">
        <v>600</v>
      </c>
      <c r="H3">
        <f t="shared" ref="H3:H5" si="2">G3+273.15</f>
        <v>873.15</v>
      </c>
      <c r="I3">
        <f t="shared" ref="I3:I5" si="3">J3*1000</f>
        <v>586</v>
      </c>
      <c r="J3">
        <v>0.58599999999999997</v>
      </c>
      <c r="L3">
        <v>955.82655826558198</v>
      </c>
      <c r="M3">
        <f t="shared" ref="M3:M6" si="4">N3*100^3/1000</f>
        <v>2746.7455621301706</v>
      </c>
      <c r="N3">
        <v>2.7467455621301702</v>
      </c>
    </row>
    <row r="4" spans="2:14" x14ac:dyDescent="0.25">
      <c r="B4">
        <v>698</v>
      </c>
      <c r="C4">
        <f t="shared" si="0"/>
        <v>971.15</v>
      </c>
      <c r="D4">
        <f t="shared" si="1"/>
        <v>2.0999999999999997E-7</v>
      </c>
      <c r="E4">
        <v>2.0999999999999999E-3</v>
      </c>
      <c r="G4">
        <v>650</v>
      </c>
      <c r="H4">
        <f t="shared" si="2"/>
        <v>923.15</v>
      </c>
      <c r="I4">
        <f t="shared" si="3"/>
        <v>591</v>
      </c>
      <c r="J4">
        <v>0.59099999999999997</v>
      </c>
      <c r="L4">
        <v>1033.87533875338</v>
      </c>
      <c r="M4">
        <f t="shared" si="4"/>
        <v>2684.6153846153798</v>
      </c>
      <c r="N4">
        <v>2.68461538461538</v>
      </c>
    </row>
    <row r="5" spans="2:14" x14ac:dyDescent="0.25">
      <c r="B5">
        <v>748</v>
      </c>
      <c r="C5">
        <f t="shared" si="0"/>
        <v>1021.15</v>
      </c>
      <c r="D5">
        <f t="shared" si="1"/>
        <v>2.2999999999999999E-7</v>
      </c>
      <c r="E5">
        <v>2.3E-3</v>
      </c>
      <c r="G5">
        <v>700</v>
      </c>
      <c r="H5">
        <f t="shared" si="2"/>
        <v>973.15</v>
      </c>
      <c r="I5">
        <f t="shared" si="3"/>
        <v>597</v>
      </c>
      <c r="J5">
        <v>0.59699999999999998</v>
      </c>
      <c r="L5">
        <v>1088.0758807587999</v>
      </c>
      <c r="M5">
        <f t="shared" si="4"/>
        <v>2643.1952662721797</v>
      </c>
      <c r="N5">
        <v>2.6431952662721798</v>
      </c>
    </row>
    <row r="6" spans="2:14" x14ac:dyDescent="0.25">
      <c r="B6">
        <v>798</v>
      </c>
      <c r="C6">
        <f t="shared" si="0"/>
        <v>1071.1500000000001</v>
      </c>
      <c r="D6">
        <f t="shared" si="1"/>
        <v>2.3999999999999998E-7</v>
      </c>
      <c r="E6">
        <v>2.3999999999999998E-3</v>
      </c>
      <c r="L6">
        <v>1137.9403794037901</v>
      </c>
      <c r="M6">
        <f t="shared" si="4"/>
        <v>2605.9171597633099</v>
      </c>
      <c r="N6">
        <v>2.60591715976331</v>
      </c>
    </row>
    <row r="7" spans="2:14" x14ac:dyDescent="0.25">
      <c r="H7">
        <f>SLOPE(I2:I5,H2:H5)</f>
        <v>4.5999999999999999E-2</v>
      </c>
      <c r="I7">
        <f>INTERCEPT(I2:I5,H2:H5)</f>
        <v>549.93510000000003</v>
      </c>
      <c r="L7">
        <f>SLOPE(M2:M5,L2:L5)</f>
        <v>-0.78805584690592545</v>
      </c>
      <c r="M7">
        <f>INTERCEPT(M2:M5,L2:L5)</f>
        <v>3500.1057106859057</v>
      </c>
    </row>
    <row r="10" spans="2:14" x14ac:dyDescent="0.25">
      <c r="C10" t="s">
        <v>94</v>
      </c>
      <c r="D10" t="s">
        <v>101</v>
      </c>
    </row>
    <row r="11" spans="2:14" x14ac:dyDescent="0.25">
      <c r="C11">
        <v>869.15</v>
      </c>
      <c r="D11">
        <f>D2*($L$7*C11+$M$7)*($H$7*C11+$I$7)</f>
        <v>0.26571392625112045</v>
      </c>
    </row>
    <row r="12" spans="2:14" x14ac:dyDescent="0.25">
      <c r="C12">
        <v>921.15</v>
      </c>
      <c r="D12">
        <f>D3*($L$7*C12+$M$7)*($H$7*C12+$I$7)</f>
        <v>0.31220301929656041</v>
      </c>
    </row>
    <row r="13" spans="2:14" x14ac:dyDescent="0.25">
      <c r="C13">
        <v>971.15</v>
      </c>
      <c r="D13">
        <f>D4*($L$7*C13+$M$7)*($H$7*C13+$I$7)</f>
        <v>0.34148629258281887</v>
      </c>
    </row>
    <row r="14" spans="2:14" x14ac:dyDescent="0.25">
      <c r="C14">
        <v>1021.15</v>
      </c>
      <c r="D14">
        <f>D5*($L$7*C14+$M$7)*($H$7*C14+$I$7)</f>
        <v>0.37004593439493438</v>
      </c>
    </row>
    <row r="15" spans="2:14" x14ac:dyDescent="0.25">
      <c r="C15">
        <v>1071.1500000000001</v>
      </c>
      <c r="D15">
        <f>D6*($L$7*C15+$M$7)*($H$7*C15+$I$7)</f>
        <v>0.38195622677973079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06"/>
  <sheetViews>
    <sheetView workbookViewId="0"/>
  </sheetViews>
  <sheetFormatPr defaultRowHeight="15" x14ac:dyDescent="0.25"/>
  <cols>
    <col min="1" max="1" width="28" style="1" bestFit="1" customWidth="1"/>
    <col min="2" max="2" width="27" style="1" bestFit="1" customWidth="1"/>
    <col min="3" max="3" width="11.140625" style="2" bestFit="1" customWidth="1"/>
    <col min="4" max="4" width="14.140625" bestFit="1" customWidth="1"/>
    <col min="5" max="5" width="11.140625" style="2" bestFit="1" customWidth="1"/>
    <col min="6" max="6" width="11" style="1" bestFit="1" customWidth="1"/>
    <col min="7" max="8" width="14.140625" bestFit="1" customWidth="1"/>
    <col min="9" max="9" width="14.140625" style="3" bestFit="1" customWidth="1"/>
    <col min="10" max="10" width="20.85546875" style="4" bestFit="1" customWidth="1"/>
    <col min="11" max="14" width="20.5703125" style="4" bestFit="1" customWidth="1"/>
  </cols>
  <sheetData>
    <row r="1" spans="1:14" ht="19.5" customHeight="1" x14ac:dyDescent="0.25">
      <c r="A1" s="1" t="s">
        <v>0</v>
      </c>
      <c r="B1" s="1" t="s">
        <v>1</v>
      </c>
      <c r="C1" s="2" t="s">
        <v>2</v>
      </c>
      <c r="D1" t="s">
        <v>3</v>
      </c>
      <c r="E1" s="2" t="s">
        <v>4</v>
      </c>
      <c r="F1" s="1" t="s">
        <v>5</v>
      </c>
      <c r="H1" t="s">
        <v>6</v>
      </c>
      <c r="I1" s="3" t="s">
        <v>7</v>
      </c>
      <c r="J1" s="4" t="s">
        <v>8</v>
      </c>
      <c r="K1" s="4" t="s">
        <v>9</v>
      </c>
      <c r="L1" s="4" t="s">
        <v>10</v>
      </c>
    </row>
    <row r="2" spans="1:14" ht="19.5" customHeight="1" x14ac:dyDescent="0.25">
      <c r="A2" s="5">
        <v>2.0288487284902468E-7</v>
      </c>
      <c r="B2" s="5">
        <v>5.5930361845327857E-10</v>
      </c>
      <c r="C2" s="6">
        <v>477</v>
      </c>
      <c r="E2" s="6">
        <f>Thermal[[#This Row], [Temp (C)]]+273</f>
        <v>750</v>
      </c>
      <c r="F2" s="5">
        <f>Thermal[[#This Row], [Thermal Diffusivity (m^2/s)]]*((2579-0.624*E2)*1884)</f>
        <v>0.80689829704480442</v>
      </c>
      <c r="H2" t="s">
        <v>11</v>
      </c>
      <c r="I2" s="6">
        <v>3</v>
      </c>
      <c r="J2" s="5">
        <v>6.9409999999999998</v>
      </c>
      <c r="K2" s="7">
        <v>1.67262192E-27</v>
      </c>
      <c r="L2" s="7">
        <v>9.1093837000000001E-31</v>
      </c>
    </row>
    <row r="3" spans="1:14" ht="19.5" customHeight="1" x14ac:dyDescent="0.25">
      <c r="A3" s="5">
        <v>2.0067023527024413E-7</v>
      </c>
      <c r="B3" s="5">
        <v>6.750506481485401E-10</v>
      </c>
      <c r="C3" s="6">
        <v>478</v>
      </c>
      <c r="E3" s="6">
        <f>Thermal[[#This Row], [Temp (C)]]+273</f>
        <v>751</v>
      </c>
      <c r="F3" s="5">
        <f>Thermal[[#This Row], [Thermal Diffusivity (m^2/s)]]*((2579-0.624*E3)*1884)</f>
        <v>0.79785449763962701</v>
      </c>
      <c r="H3" t="s">
        <v>12</v>
      </c>
      <c r="I3" s="6">
        <v>9</v>
      </c>
      <c r="J3" s="5">
        <v>18.998403</v>
      </c>
    </row>
    <row r="4" spans="1:14" ht="19.5" customHeight="1" x14ac:dyDescent="0.25">
      <c r="A4" s="5">
        <v>2.0667062981728416E-7</v>
      </c>
      <c r="B4" s="5">
        <v>8.1024625230863112E-10</v>
      </c>
      <c r="C4" s="6">
        <v>479</v>
      </c>
      <c r="E4" s="6">
        <f>Thermal[[#This Row], [Temp (C)]]+273</f>
        <v>752</v>
      </c>
      <c r="F4" s="5">
        <f>Thermal[[#This Row], [Thermal Diffusivity (m^2/s)]]*((2579-0.624*E4)*1884)</f>
        <v>0.82146879134314987</v>
      </c>
      <c r="H4" t="s">
        <v>13</v>
      </c>
      <c r="I4" s="6">
        <v>11</v>
      </c>
      <c r="J4" s="5">
        <v>22.98977</v>
      </c>
      <c r="K4" s="4" t="s">
        <v>13</v>
      </c>
      <c r="L4" s="4" t="s">
        <v>14</v>
      </c>
    </row>
    <row r="5" spans="1:14" ht="19.5" customHeight="1" x14ac:dyDescent="0.25">
      <c r="A5" s="5">
        <v>2.0514508750338416E-7</v>
      </c>
      <c r="B5" s="5">
        <v>6.818975622928249E-10</v>
      </c>
      <c r="C5" s="6">
        <v>480</v>
      </c>
      <c r="E5" s="6">
        <f>Thermal[[#This Row], [Temp (C)]]+273</f>
        <v>753</v>
      </c>
      <c r="F5" s="5">
        <f>Thermal[[#This Row], [Thermal Diffusivity (m^2/s)]]*((2579-0.624*E5)*1884)</f>
        <v>0.81516393545023813</v>
      </c>
      <c r="H5" t="s">
        <v>15</v>
      </c>
      <c r="I5" s="6">
        <v>19</v>
      </c>
      <c r="J5" s="5">
        <v>39.098300000000002</v>
      </c>
      <c r="K5" s="6">
        <f>6.022*10^23</f>
        <v>6.0219999999999996E+23</v>
      </c>
      <c r="L5" s="5">
        <v>7.0000000000000001E-3</v>
      </c>
    </row>
    <row r="6" spans="1:14" ht="19.5" customHeight="1" x14ac:dyDescent="0.25">
      <c r="A6" s="5">
        <v>2.0871183198041831E-7</v>
      </c>
      <c r="B6" s="5">
        <v>7.4431119112924465E-10</v>
      </c>
      <c r="C6" s="6">
        <v>481</v>
      </c>
      <c r="E6" s="6">
        <f>Thermal[[#This Row], [Temp (C)]]+273</f>
        <v>754</v>
      </c>
      <c r="F6" s="5">
        <f>Thermal[[#This Row], [Thermal Diffusivity (m^2/s)]]*((2579-0.624*E6)*1884)</f>
        <v>0.82909137617702722</v>
      </c>
      <c r="H6" t="s">
        <v>16</v>
      </c>
      <c r="I6" s="6">
        <v>27</v>
      </c>
      <c r="J6" s="5">
        <v>58.933199999999999</v>
      </c>
      <c r="K6" s="4" t="s">
        <v>17</v>
      </c>
    </row>
    <row r="7" spans="1:14" ht="19.5" customHeight="1" x14ac:dyDescent="0.25">
      <c r="A7" s="5">
        <v>2.0441994250966632E-7</v>
      </c>
      <c r="B7" s="5">
        <v>7.4267950997379828E-10</v>
      </c>
      <c r="C7" s="6">
        <v>482</v>
      </c>
      <c r="E7" s="6">
        <f>Thermal[[#This Row], [Temp (C)]]+273</f>
        <v>755</v>
      </c>
      <c r="F7" s="5">
        <f>Thermal[[#This Row], [Thermal Diffusivity (m^2/s)]]*((2579-0.624*E7)*1884)</f>
        <v>0.81180186265814702</v>
      </c>
      <c r="H7" t="s">
        <v>18</v>
      </c>
      <c r="I7" s="6">
        <v>18</v>
      </c>
      <c r="J7" s="5">
        <f>2*J3</f>
        <v>37.996805999999999</v>
      </c>
      <c r="K7" s="7">
        <v>1.054571817E-34</v>
      </c>
    </row>
    <row r="8" spans="1:14" ht="19.5" customHeight="1" x14ac:dyDescent="0.25">
      <c r="A8" s="5">
        <v>2.0453240074890467E-7</v>
      </c>
      <c r="B8" s="5">
        <v>6.7235182097183072E-10</v>
      </c>
      <c r="C8" s="6">
        <v>483</v>
      </c>
      <c r="E8" s="6">
        <f>Thermal[[#This Row], [Temp (C)]]+273</f>
        <v>756</v>
      </c>
      <c r="F8" s="5">
        <f>Thermal[[#This Row], [Thermal Diffusivity (m^2/s)]]*((2579-0.624*E8)*1884)</f>
        <v>0.81200801041905368</v>
      </c>
    </row>
    <row r="9" spans="1:14" ht="19.5" customHeight="1" x14ac:dyDescent="0.25">
      <c r="A9" s="5">
        <v>2.0435765639238812E-7</v>
      </c>
      <c r="B9" s="5">
        <v>6.5438912263549024E-10</v>
      </c>
      <c r="C9" s="6">
        <v>484</v>
      </c>
      <c r="E9" s="6">
        <f>Thermal[[#This Row], [Temp (C)]]+273</f>
        <v>757</v>
      </c>
      <c r="F9" s="5">
        <f>Thermal[[#This Row], [Thermal Diffusivity (m^2/s)]]*((2579-0.624*E9)*1884)</f>
        <v>0.8110740169078785</v>
      </c>
      <c r="I9" s="3" t="s">
        <v>19</v>
      </c>
      <c r="J9" s="5">
        <f>SUM(J6:J7)</f>
        <v>96.930005999999992</v>
      </c>
      <c r="K9" s="5">
        <f>SUM(J2:J3)</f>
        <v>25.939402999999999</v>
      </c>
      <c r="L9" s="5">
        <f>SUM(J3:J4)</f>
        <v>41.988173000000003</v>
      </c>
      <c r="M9" s="5">
        <f>SUM(J5,J3)</f>
        <v>58.096703000000005</v>
      </c>
    </row>
    <row r="10" spans="1:14" ht="19.5" customHeight="1" x14ac:dyDescent="0.25">
      <c r="A10" s="5">
        <v>1.9974751951617026E-7</v>
      </c>
      <c r="B10" s="5">
        <v>5.9437058183025631E-10</v>
      </c>
      <c r="C10" s="6">
        <v>485</v>
      </c>
      <c r="E10" s="6">
        <f>Thermal[[#This Row], [Temp (C)]]+273</f>
        <v>758</v>
      </c>
      <c r="F10" s="5">
        <f>Thermal[[#This Row], [Thermal Diffusivity (m^2/s)]]*((2579-0.624*E10)*1884)</f>
        <v>0.79254204276900087</v>
      </c>
      <c r="I10" s="8" t="s">
        <v>20</v>
      </c>
      <c r="J10" s="4" t="s">
        <v>21</v>
      </c>
      <c r="K10" s="4" t="s">
        <v>22</v>
      </c>
      <c r="L10" s="4" t="s">
        <v>23</v>
      </c>
      <c r="M10" s="4" t="s">
        <v>24</v>
      </c>
      <c r="N10" s="4" t="s">
        <v>25</v>
      </c>
    </row>
    <row r="11" spans="1:14" ht="19.5" customHeight="1" x14ac:dyDescent="0.25">
      <c r="A11" s="5">
        <v>2.0185296273324161E-7</v>
      </c>
      <c r="B11" s="5">
        <v>6.7055816745573887E-10</v>
      </c>
      <c r="C11" s="6">
        <v>486</v>
      </c>
      <c r="E11" s="6">
        <f>Thermal[[#This Row], [Temp (C)]]+273</f>
        <v>759</v>
      </c>
      <c r="F11" s="5">
        <f>Thermal[[#This Row], [Thermal Diffusivity (m^2/s)]]*((2579-0.624*E11)*1884)</f>
        <v>0.80065854840375139</v>
      </c>
      <c r="H11" s="9" t="s">
        <v>26</v>
      </c>
      <c r="I11" s="10">
        <v>1.3</v>
      </c>
      <c r="J11" s="11">
        <v>0.94877505567928699</v>
      </c>
      <c r="K11" s="11">
        <v>29.289855072463698</v>
      </c>
      <c r="L11" s="11">
        <v>11.681355932203299</v>
      </c>
      <c r="M11" s="11">
        <v>58.2173913043478</v>
      </c>
      <c r="N11" s="10">
        <f t="shared" ref="N11:N19" si="0">SUM(J11:M11)</f>
        <v>100.13737736469409</v>
      </c>
    </row>
    <row r="12" spans="1:14" ht="19.5" customHeight="1" x14ac:dyDescent="0.25">
      <c r="A12" s="5">
        <v>2.0163942766027477E-7</v>
      </c>
      <c r="B12" s="5">
        <v>5.9247263145415421E-10</v>
      </c>
      <c r="C12" s="6">
        <v>487</v>
      </c>
      <c r="E12" s="6">
        <f>Thermal[[#This Row], [Temp (C)]]+273</f>
        <v>760</v>
      </c>
      <c r="F12" s="5">
        <f>Thermal[[#This Row], [Thermal Diffusivity (m^2/s)]]*((2579-0.624*E12)*1884)</f>
        <v>0.79957450172006006</v>
      </c>
      <c r="H12" s="12"/>
      <c r="I12" s="13">
        <v>0.7</v>
      </c>
      <c r="J12" s="14">
        <v>0.46770601336302797</v>
      </c>
      <c r="K12" s="14">
        <v>30.2753623188405</v>
      </c>
      <c r="L12" s="14">
        <v>12.061016949152499</v>
      </c>
      <c r="M12" s="14">
        <v>58.652173913043399</v>
      </c>
      <c r="N12" s="13">
        <f t="shared" si="0"/>
        <v>101.45625919439942</v>
      </c>
    </row>
    <row r="13" spans="1:14" ht="19.5" customHeight="1" x14ac:dyDescent="0.25">
      <c r="A13" s="5">
        <v>2.0583246067537358E-7</v>
      </c>
      <c r="B13" s="5">
        <v>6.2678746168183822E-10</v>
      </c>
      <c r="C13" s="6">
        <v>488</v>
      </c>
      <c r="E13" s="6">
        <f>Thermal[[#This Row], [Temp (C)]]+273</f>
        <v>761</v>
      </c>
      <c r="F13" s="5">
        <f>Thermal[[#This Row], [Thermal Diffusivity (m^2/s)]]*((2579-0.624*E13)*1884)</f>
        <v>0.81595944005610177</v>
      </c>
      <c r="H13" s="9" t="s">
        <v>26</v>
      </c>
      <c r="I13" s="10">
        <v>1.3</v>
      </c>
      <c r="J13" s="11">
        <f t="shared" ref="J13:M14" si="1">J11/$N11</f>
        <v>9.4747344163399385E-3</v>
      </c>
      <c r="K13" s="11">
        <f t="shared" si="1"/>
        <v>0.29249672643005092</v>
      </c>
      <c r="L13" s="11">
        <f t="shared" si="1"/>
        <v>0.11665330408704962</v>
      </c>
      <c r="M13" s="11">
        <f t="shared" si="1"/>
        <v>0.58137523506655953</v>
      </c>
      <c r="N13" s="15">
        <f t="shared" si="0"/>
        <v>1</v>
      </c>
    </row>
    <row r="14" spans="1:14" ht="19.5" customHeight="1" x14ac:dyDescent="0.25">
      <c r="A14" s="5">
        <v>2.0599476047299092E-7</v>
      </c>
      <c r="B14" s="5">
        <v>5.8839714414944735E-10</v>
      </c>
      <c r="C14" s="6">
        <v>489</v>
      </c>
      <c r="E14" s="6">
        <f>Thermal[[#This Row], [Temp (C)]]+273</f>
        <v>762</v>
      </c>
      <c r="F14" s="5">
        <f>Thermal[[#This Row], [Thermal Diffusivity (m^2/s)]]*((2579-0.624*E14)*1884)</f>
        <v>0.81636065691544502</v>
      </c>
      <c r="H14" s="12" t="s">
        <v>27</v>
      </c>
      <c r="I14" s="13">
        <v>0.7</v>
      </c>
      <c r="J14" s="14">
        <f t="shared" si="1"/>
        <v>4.6099276385388969E-3</v>
      </c>
      <c r="K14" s="14">
        <f t="shared" si="1"/>
        <v>0.29840802883171702</v>
      </c>
      <c r="L14" s="14">
        <f t="shared" si="1"/>
        <v>0.11887898336604835</v>
      </c>
      <c r="M14" s="14">
        <f t="shared" si="1"/>
        <v>0.57810306016369573</v>
      </c>
      <c r="N14" s="16">
        <f t="shared" si="0"/>
        <v>1</v>
      </c>
    </row>
    <row r="15" spans="1:14" ht="19.5" customHeight="1" x14ac:dyDescent="0.25">
      <c r="A15" s="5">
        <v>2.0405602402350561E-7</v>
      </c>
      <c r="B15" s="5">
        <v>5.806032320737799E-10</v>
      </c>
      <c r="C15" s="6">
        <v>490</v>
      </c>
      <c r="E15" s="6">
        <f>Thermal[[#This Row], [Temp (C)]]+273</f>
        <v>763</v>
      </c>
      <c r="F15" s="5">
        <f>Thermal[[#This Row], [Thermal Diffusivity (m^2/s)]]*((2579-0.624*E15)*1884)</f>
        <v>0.80843752064086116</v>
      </c>
      <c r="H15" s="9" t="s">
        <v>28</v>
      </c>
      <c r="I15" s="10">
        <v>1.3</v>
      </c>
      <c r="J15" s="11">
        <f t="shared" ref="J15:M16" si="2">(J11*J$9)/($J11*$J$9+$K11*$K$9+$L11*$L$9+$M11*$M$9)</f>
        <v>1.9465736768619735E-2</v>
      </c>
      <c r="K15" s="11">
        <f t="shared" si="2"/>
        <v>0.16081499729222334</v>
      </c>
      <c r="L15" s="11">
        <f t="shared" si="2"/>
        <v>0.10381726501198517</v>
      </c>
      <c r="M15" s="11">
        <f t="shared" si="2"/>
        <v>0.71590200092717171</v>
      </c>
      <c r="N15" s="15">
        <f t="shared" si="0"/>
        <v>1</v>
      </c>
    </row>
    <row r="16" spans="1:14" ht="19.5" customHeight="1" x14ac:dyDescent="0.25">
      <c r="A16" s="5">
        <v>2.0431642535433452E-7</v>
      </c>
      <c r="B16" s="5">
        <v>5.3714506234542531E-10</v>
      </c>
      <c r="C16" s="6">
        <v>491</v>
      </c>
      <c r="E16" s="6">
        <f>Thermal[[#This Row], [Temp (C)]]+273</f>
        <v>764</v>
      </c>
      <c r="F16" s="5">
        <f>Thermal[[#This Row], [Thermal Diffusivity (m^2/s)]]*((2579-0.624*E16)*1884)</f>
        <v>0.80922899164900131</v>
      </c>
      <c r="H16" s="12"/>
      <c r="I16" s="13">
        <v>0.7</v>
      </c>
      <c r="J16" s="14">
        <f t="shared" si="2"/>
        <v>9.5550649259361527E-3</v>
      </c>
      <c r="K16" s="14">
        <f t="shared" si="2"/>
        <v>0.16552049436844837</v>
      </c>
      <c r="L16" s="14">
        <f t="shared" si="2"/>
        <v>0.10673659757037775</v>
      </c>
      <c r="M16" s="14">
        <f t="shared" si="2"/>
        <v>0.71818784313523776</v>
      </c>
      <c r="N16" s="16">
        <f t="shared" si="0"/>
        <v>1</v>
      </c>
    </row>
    <row r="17" spans="1:14" ht="19.5" customHeight="1" x14ac:dyDescent="0.25">
      <c r="A17" s="5">
        <v>2.0710115231998487E-7</v>
      </c>
      <c r="B17" s="5">
        <v>5.9192834056845877E-10</v>
      </c>
      <c r="C17" s="6">
        <v>492</v>
      </c>
      <c r="E17" s="6">
        <f>Thermal[[#This Row], [Temp (C)]]+273</f>
        <v>765</v>
      </c>
      <c r="F17" s="5">
        <f>Thermal[[#This Row], [Thermal Diffusivity (m^2/s)]]*((2579-0.624*E17)*1884)</f>
        <v>0.82001489189518029</v>
      </c>
      <c r="H17" s="9" t="s">
        <v>29</v>
      </c>
      <c r="I17" s="10">
        <v>1.3</v>
      </c>
      <c r="J17" s="17">
        <f t="shared" ref="J17:M18" si="3">J15*$I$28</f>
        <v>0.11787894023168435</v>
      </c>
      <c r="K17" s="11">
        <f t="shared" si="3"/>
        <v>0.97384967645962095</v>
      </c>
      <c r="L17" s="11">
        <f t="shared" si="3"/>
        <v>0.62868769483686437</v>
      </c>
      <c r="M17" s="11">
        <f t="shared" si="3"/>
        <v>4.3352979741861155</v>
      </c>
      <c r="N17" s="10">
        <f t="shared" si="0"/>
        <v>6.0557142857142852</v>
      </c>
    </row>
    <row r="18" spans="1:14" ht="19.5" customHeight="1" x14ac:dyDescent="0.25">
      <c r="A18" s="5">
        <v>2.022243387239434E-7</v>
      </c>
      <c r="B18" s="5">
        <v>5.6262337816564565E-10</v>
      </c>
      <c r="C18" s="6">
        <v>493</v>
      </c>
      <c r="E18" s="6">
        <f>Thermal[[#This Row], [Temp (C)]]+273</f>
        <v>766</v>
      </c>
      <c r="F18" s="5">
        <f>Thermal[[#This Row], [Thermal Diffusivity (m^2/s)]]*((2579-0.624*E18)*1884)</f>
        <v>0.80046746023203208</v>
      </c>
      <c r="H18" s="12"/>
      <c r="I18" s="13">
        <v>0.7</v>
      </c>
      <c r="J18" s="18">
        <f t="shared" si="3"/>
        <v>5.7862743172919069E-2</v>
      </c>
      <c r="K18" s="14">
        <f t="shared" si="3"/>
        <v>1.0023448223255036</v>
      </c>
      <c r="L18" s="14">
        <f t="shared" si="3"/>
        <v>0.64636633871547322</v>
      </c>
      <c r="M18" s="14">
        <f t="shared" si="3"/>
        <v>4.3491403815003897</v>
      </c>
      <c r="N18" s="13">
        <f t="shared" si="0"/>
        <v>6.055714285714286</v>
      </c>
    </row>
    <row r="19" spans="1:14" ht="19.5" customHeight="1" x14ac:dyDescent="0.25">
      <c r="A19" s="5">
        <v>2.0500035186129608E-7</v>
      </c>
      <c r="B19" s="5">
        <v>5.3511490342472723E-10</v>
      </c>
      <c r="C19" s="6">
        <v>494</v>
      </c>
      <c r="E19" s="6">
        <f>Thermal[[#This Row], [Temp (C)]]+273</f>
        <v>767</v>
      </c>
      <c r="F19" s="5">
        <f>Thermal[[#This Row], [Thermal Diffusivity (m^2/s)]]*((2579-0.624*E19)*1884)</f>
        <v>0.81121479060389112</v>
      </c>
      <c r="H19" s="9" t="s">
        <v>30</v>
      </c>
      <c r="I19" s="10">
        <v>1.3</v>
      </c>
      <c r="J19" s="19">
        <f>J17*$K$5*$K$2</f>
        <v>1.1873390678127442E-4</v>
      </c>
      <c r="K19" s="20">
        <f>K17*$K$5*$K$2</f>
        <v>9.809129304731508E-4</v>
      </c>
      <c r="L19" s="20">
        <f>L17*$K$5*$K$2</f>
        <v>6.3324751653332661E-4</v>
      </c>
      <c r="M19" s="20">
        <f>M17*$K$5*$K$2</f>
        <v>4.3667415445401555E-3</v>
      </c>
      <c r="N19" s="21">
        <f t="shared" si="0"/>
        <v>6.0996358983279077E-3</v>
      </c>
    </row>
    <row r="20" spans="1:14" ht="19.5" customHeight="1" x14ac:dyDescent="0.25">
      <c r="A20" s="5">
        <v>2.0521307034380971E-7</v>
      </c>
      <c r="B20" s="5">
        <v>4.7048088073723786E-10</v>
      </c>
      <c r="C20" s="6">
        <v>495</v>
      </c>
      <c r="E20" s="6">
        <f>Thermal[[#This Row], [Temp (C)]]+273</f>
        <v>768</v>
      </c>
      <c r="F20" s="5">
        <f>Thermal[[#This Row], [Thermal Diffusivity (m^2/s)]]*((2579-0.624*E20)*1884)</f>
        <v>0.81181529533775831</v>
      </c>
      <c r="H20" s="12" t="s">
        <v>31</v>
      </c>
      <c r="I20" s="13">
        <v>1.3</v>
      </c>
      <c r="J20" s="22">
        <f>J18*$K$5*$L$2</f>
        <v>3.1741596434289784E-8</v>
      </c>
      <c r="K20" s="23">
        <f>K18*$K$5*$L$2</f>
        <v>5.4985337876525995E-7</v>
      </c>
      <c r="L20" s="23">
        <f>L18*$K$5*$L$2</f>
        <v>3.5457529918523174E-7</v>
      </c>
      <c r="M20" s="23">
        <f>M18*$K$5*$L$2</f>
        <v>2.3857952674851411E-6</v>
      </c>
      <c r="N20" s="24">
        <f>N18*$K$5*$L$2</f>
        <v>3.3219655418699231E-6</v>
      </c>
    </row>
    <row r="21" spans="1:14" ht="19.5" customHeight="1" x14ac:dyDescent="0.25">
      <c r="A21" s="5">
        <v>2.0520210296563033E-7</v>
      </c>
      <c r="B21" s="5">
        <v>5.2172553338784265E-10</v>
      </c>
      <c r="C21" s="6">
        <v>496</v>
      </c>
      <c r="E21" s="6">
        <f>Thermal[[#This Row], [Temp (C)]]+273</f>
        <v>769</v>
      </c>
      <c r="F21" s="5">
        <f>Thermal[[#This Row], [Thermal Diffusivity (m^2/s)]]*((2579-0.624*E21)*1884)</f>
        <v>0.8115306699209589</v>
      </c>
      <c r="H21" s="9" t="s">
        <v>30</v>
      </c>
      <c r="I21" s="10">
        <v>0.7</v>
      </c>
      <c r="J21" s="22">
        <f>J17*$K$5*$K$2</f>
        <v>1.1873390678127442E-4</v>
      </c>
      <c r="K21" s="23">
        <f>K17*$K$5*$K$2</f>
        <v>9.809129304731508E-4</v>
      </c>
      <c r="L21" s="23">
        <f>L17*$K$5*$K$2</f>
        <v>6.3324751653332661E-4</v>
      </c>
      <c r="M21" s="23">
        <f>M17*$K$5*$K$2</f>
        <v>4.3667415445401555E-3</v>
      </c>
      <c r="N21" s="24">
        <f>N17*$K$5*$K$2</f>
        <v>6.0996358983279077E-3</v>
      </c>
    </row>
    <row r="22" spans="1:14" ht="19.5" customHeight="1" x14ac:dyDescent="0.25">
      <c r="A22" s="5">
        <v>2.0447138656674551E-7</v>
      </c>
      <c r="B22" s="5">
        <v>4.699719271703422E-10</v>
      </c>
      <c r="C22" s="6">
        <v>497</v>
      </c>
      <c r="E22" s="6">
        <f>Thermal[[#This Row], [Temp (C)]]+273</f>
        <v>770</v>
      </c>
      <c r="F22" s="5">
        <f>Thermal[[#This Row], [Thermal Diffusivity (m^2/s)]]*((2579-0.624*E22)*1884)</f>
        <v>0.80840046215608019</v>
      </c>
      <c r="H22" s="12" t="s">
        <v>31</v>
      </c>
      <c r="I22" s="13">
        <v>0.7</v>
      </c>
      <c r="J22" s="25">
        <f>J18*$K$5*$L$2</f>
        <v>3.1741596434289784E-8</v>
      </c>
      <c r="K22" s="26">
        <f>K18*$K$5*$L$2</f>
        <v>5.4985337876525995E-7</v>
      </c>
      <c r="L22" s="26">
        <f>L18*$K$5*$L$2</f>
        <v>3.5457529918523174E-7</v>
      </c>
      <c r="M22" s="26">
        <f>M18*$K$5*$L$2</f>
        <v>2.3857952674851411E-6</v>
      </c>
      <c r="N22" s="27">
        <f>SUM(J22:M22)</f>
        <v>3.3219655418699223E-6</v>
      </c>
    </row>
    <row r="23" spans="1:14" ht="19.5" customHeight="1" x14ac:dyDescent="0.25">
      <c r="A23" s="5">
        <v>2.0496635164510864E-7</v>
      </c>
      <c r="B23" s="5">
        <v>4.9076573556626156E-10</v>
      </c>
      <c r="C23" s="6">
        <v>498</v>
      </c>
      <c r="E23" s="6">
        <f>Thermal[[#This Row], [Temp (C)]]+273</f>
        <v>771</v>
      </c>
      <c r="F23" s="5">
        <f>Thermal[[#This Row], [Thermal Diffusivity (m^2/s)]]*((2579-0.624*E23)*1884)</f>
        <v>0.81011640014863318</v>
      </c>
      <c r="H23" t="s">
        <v>32</v>
      </c>
      <c r="I23" s="28">
        <v>1.3</v>
      </c>
      <c r="J23" s="23">
        <f>1/(4*PI())*$K$7/SQRT(SUM(I6:I7)*$K$2*$L$2)</f>
        <v>3.2049159916360588E-8</v>
      </c>
      <c r="K23" s="23">
        <f>1/(4*PI())*$K$7/SQRT(SUM(I2:I3)*$K$2*$L$2)</f>
        <v>6.2062931308001435E-8</v>
      </c>
      <c r="L23" s="23">
        <f>1/(4*PI())*$K$7/SQRT(SUM(I3:I4)*$K$2*$L$2)</f>
        <v>4.8073739874540895E-8</v>
      </c>
      <c r="M23" s="23">
        <f>1/(4*PI())*$K$7/SQRT(SUM(I3,I5)*$K$2*$L$2)</f>
        <v>4.0629725795680168E-8</v>
      </c>
      <c r="N23" s="23"/>
    </row>
    <row r="24" spans="1:14" ht="19.5" customHeight="1" x14ac:dyDescent="0.25">
      <c r="A24" s="5">
        <v>2.0951195953446277E-7</v>
      </c>
      <c r="B24" s="5">
        <v>5.0695217903714076E-10</v>
      </c>
      <c r="C24" s="6">
        <v>499</v>
      </c>
      <c r="E24" s="6">
        <f>Thermal[[#This Row], [Temp (C)]]+273</f>
        <v>772</v>
      </c>
      <c r="F24" s="5">
        <f>Thermal[[#This Row], [Thermal Diffusivity (m^2/s)]]*((2579-0.624*E24)*1884)</f>
        <v>0.82783631909149924</v>
      </c>
      <c r="I24" s="28">
        <v>0.7</v>
      </c>
      <c r="J24" s="23">
        <f>1/(4*PI())*$K$7/SQRT(N20*N21)</f>
        <v>5.895447541171946E-32</v>
      </c>
      <c r="K24" s="23"/>
      <c r="L24" s="23"/>
      <c r="M24" s="23"/>
      <c r="N24" s="23"/>
    </row>
    <row r="25" spans="1:14" ht="19.5" customHeight="1" x14ac:dyDescent="0.25">
      <c r="A25" s="5">
        <v>2.077809192935867E-7</v>
      </c>
      <c r="B25" s="5">
        <v>4.5572564317461812E-10</v>
      </c>
      <c r="C25" s="6">
        <v>500</v>
      </c>
      <c r="E25" s="6">
        <f>Thermal[[#This Row], [Temp (C)]]+273</f>
        <v>773</v>
      </c>
      <c r="F25" s="5">
        <f>Thermal[[#This Row], [Thermal Diffusivity (m^2/s)]]*((2579-0.624*E25)*1884)</f>
        <v>0.82075225768061311</v>
      </c>
    </row>
    <row r="26" spans="1:14" ht="19.5" customHeight="1" x14ac:dyDescent="0.25">
      <c r="A26" s="5">
        <v>2.0407068258557078E-7</v>
      </c>
      <c r="B26" s="5">
        <v>4.05191840185063E-10</v>
      </c>
      <c r="C26" s="6">
        <v>501</v>
      </c>
      <c r="E26" s="6">
        <f>Thermal[[#This Row], [Temp (C)]]+273</f>
        <v>774</v>
      </c>
      <c r="F26" s="5">
        <f>Thermal[[#This Row], [Thermal Diffusivity (m^2/s)]]*((2579-0.624*E26)*1884)</f>
        <v>0.80585659917757113</v>
      </c>
      <c r="H26" t="s">
        <v>33</v>
      </c>
    </row>
    <row r="27" spans="1:14" ht="19.5" customHeight="1" x14ac:dyDescent="0.25">
      <c r="A27" s="5">
        <v>2.0554052036293155E-7</v>
      </c>
      <c r="B27" s="5">
        <v>4.0212967449406267E-10</v>
      </c>
      <c r="C27" s="6">
        <v>502</v>
      </c>
      <c r="E27" s="6">
        <f>Thermal[[#This Row], [Temp (C)]]+273</f>
        <v>775</v>
      </c>
      <c r="F27" s="5">
        <f>Thermal[[#This Row], [Thermal Diffusivity (m^2/s)]]*((2579-0.624*E27)*1884)</f>
        <v>0.81141921839822906</v>
      </c>
      <c r="H27" t="s">
        <v>34</v>
      </c>
      <c r="I27" s="5">
        <v>4.2389999999999997E-2</v>
      </c>
    </row>
    <row r="28" spans="1:14" ht="19.5" customHeight="1" x14ac:dyDescent="0.25">
      <c r="A28" s="5">
        <v>2.0572083410500437E-7</v>
      </c>
      <c r="B28" s="5">
        <v>4.9844816577584068E-10</v>
      </c>
      <c r="C28" s="6">
        <v>503</v>
      </c>
      <c r="E28" s="6">
        <f>Thermal[[#This Row], [Temp (C)]]+273</f>
        <v>776</v>
      </c>
      <c r="F28" s="5">
        <f>Thermal[[#This Row], [Thermal Diffusivity (m^2/s)]]*((2579-0.624*E28)*1884)</f>
        <v>0.81188920031224443</v>
      </c>
      <c r="H28" t="s">
        <v>35</v>
      </c>
      <c r="I28" s="5">
        <f>I27/L5</f>
        <v>6.0557142857142852</v>
      </c>
    </row>
    <row r="29" spans="1:14" ht="19.5" customHeight="1" x14ac:dyDescent="0.25">
      <c r="A29" s="5">
        <v>2.0458224853951536E-7</v>
      </c>
      <c r="B29" s="5">
        <v>4.1317242874964981E-10</v>
      </c>
      <c r="C29" s="6">
        <v>504</v>
      </c>
      <c r="E29" s="6">
        <f>Thermal[[#This Row], [Temp (C)]]+273</f>
        <v>777</v>
      </c>
      <c r="F29" s="5">
        <f>Thermal[[#This Row], [Thermal Diffusivity (m^2/s)]]*((2579-0.624*E29)*1884)</f>
        <v>0.80715519619359766</v>
      </c>
    </row>
    <row r="30" spans="1:14" ht="19.5" customHeight="1" x14ac:dyDescent="0.25">
      <c r="A30" s="5">
        <v>2.0454189412569539E-7</v>
      </c>
      <c r="B30" s="5">
        <v>3.9038167900674079E-10</v>
      </c>
      <c r="C30" s="6">
        <v>505</v>
      </c>
      <c r="E30" s="6">
        <f>Thermal[[#This Row], [Temp (C)]]+273</f>
        <v>778</v>
      </c>
      <c r="F30" s="5">
        <f>Thermal[[#This Row], [Thermal Diffusivity (m^2/s)]]*((2579-0.624*E30)*1884)</f>
        <v>0.80675551987743699</v>
      </c>
    </row>
    <row r="31" spans="1:14" ht="19.5" customHeight="1" x14ac:dyDescent="0.25">
      <c r="A31" s="5">
        <v>2.0500419794310102E-7</v>
      </c>
      <c r="B31" s="5">
        <v>3.8188004161580065E-10</v>
      </c>
      <c r="C31" s="6">
        <v>506</v>
      </c>
      <c r="E31" s="6">
        <f>Thermal[[#This Row], [Temp (C)]]+273</f>
        <v>779</v>
      </c>
      <c r="F31" s="5">
        <f>Thermal[[#This Row], [Thermal Diffusivity (m^2/s)]]*((2579-0.624*E31)*1884)</f>
        <v>0.80833793550035449</v>
      </c>
    </row>
    <row r="32" spans="1:14" ht="19.5" customHeight="1" x14ac:dyDescent="0.25">
      <c r="A32" s="5">
        <v>2.0426407507877239E-7</v>
      </c>
      <c r="B32" s="5">
        <v>4.4358304474778529E-10</v>
      </c>
      <c r="C32" s="6">
        <v>507</v>
      </c>
      <c r="E32" s="6">
        <f>Thermal[[#This Row], [Temp (C)]]+273</f>
        <v>780</v>
      </c>
      <c r="F32" s="5">
        <f>Thermal[[#This Row], [Thermal Diffusivity (m^2/s)]]*((2579-0.624*E32)*1884)</f>
        <v>0.80517947188695327</v>
      </c>
    </row>
    <row r="33" spans="1:6" ht="19.5" customHeight="1" x14ac:dyDescent="0.25">
      <c r="A33" s="5">
        <v>2.0459684944560058E-7</v>
      </c>
      <c r="B33" s="5">
        <v>4.3570713891861543E-10</v>
      </c>
      <c r="C33" s="6">
        <v>508</v>
      </c>
      <c r="E33" s="6">
        <f>Thermal[[#This Row], [Temp (C)]]+273</f>
        <v>781</v>
      </c>
      <c r="F33" s="5">
        <f>Thermal[[#This Row], [Thermal Diffusivity (m^2/s)]]*((2579-0.624*E33)*1884)</f>
        <v>0.80625069303199171</v>
      </c>
    </row>
    <row r="34" spans="1:6" ht="19.5" customHeight="1" x14ac:dyDescent="0.25">
      <c r="A34" s="5">
        <v>2.04679741551917E-7</v>
      </c>
      <c r="B34" s="5">
        <v>4.1455132957533458E-10</v>
      </c>
      <c r="C34" s="6">
        <v>509</v>
      </c>
      <c r="E34" s="6">
        <f>Thermal[[#This Row], [Temp (C)]]+273</f>
        <v>782</v>
      </c>
      <c r="F34" s="5">
        <f>Thermal[[#This Row], [Thermal Diffusivity (m^2/s)]]*((2579-0.624*E34)*1884)</f>
        <v>0.80633671951050878</v>
      </c>
    </row>
    <row r="35" spans="1:6" ht="19.5" customHeight="1" x14ac:dyDescent="0.25">
      <c r="A35" s="5">
        <v>2.0643584319161211E-7</v>
      </c>
      <c r="B35" s="5">
        <v>4.3972694651282398E-10</v>
      </c>
      <c r="C35" s="6">
        <v>510</v>
      </c>
      <c r="E35" s="6">
        <f>Thermal[[#This Row], [Temp (C)]]+273</f>
        <v>783</v>
      </c>
      <c r="F35" s="5">
        <f>Thermal[[#This Row], [Thermal Diffusivity (m^2/s)]]*((2579-0.624*E35)*1884)</f>
        <v>0.81301220017002196</v>
      </c>
    </row>
    <row r="36" spans="1:6" ht="19.5" customHeight="1" x14ac:dyDescent="0.25">
      <c r="A36" s="5">
        <v>2.0374999419914357E-7</v>
      </c>
      <c r="B36" s="5">
        <v>4.4480055022019209E-10</v>
      </c>
      <c r="C36" s="6">
        <v>511</v>
      </c>
      <c r="E36" s="6">
        <f>Thermal[[#This Row], [Temp (C)]]+273</f>
        <v>784</v>
      </c>
      <c r="F36" s="5">
        <f>Thermal[[#This Row], [Thermal Diffusivity (m^2/s)]]*((2579-0.624*E36)*1884)</f>
        <v>0.80219491232114049</v>
      </c>
    </row>
    <row r="37" spans="1:6" ht="19.5" customHeight="1" x14ac:dyDescent="0.25">
      <c r="A37" s="5">
        <v>2.032889713467689E-7</v>
      </c>
      <c r="B37" s="5">
        <v>4.6510199420179663E-10</v>
      </c>
      <c r="C37" s="6">
        <v>512</v>
      </c>
      <c r="E37" s="6">
        <f>Thermal[[#This Row], [Temp (C)]]+273</f>
        <v>785</v>
      </c>
      <c r="F37" s="5">
        <f>Thermal[[#This Row], [Thermal Diffusivity (m^2/s)]]*((2579-0.624*E37)*1884)</f>
        <v>0.80014080502168883</v>
      </c>
    </row>
    <row r="38" spans="1:6" ht="19.5" customHeight="1" x14ac:dyDescent="0.25">
      <c r="A38" s="5">
        <v>2.0703417013082004E-7</v>
      </c>
      <c r="B38" s="5">
        <v>4.7193246222112288E-10</v>
      </c>
      <c r="C38" s="6">
        <v>513</v>
      </c>
      <c r="E38" s="6">
        <f>Thermal[[#This Row], [Temp (C)]]+273</f>
        <v>786</v>
      </c>
      <c r="F38" s="5">
        <f>Thermal[[#This Row], [Thermal Diffusivity (m^2/s)]]*((2579-0.624*E38)*1884)</f>
        <v>0.81463843026107696</v>
      </c>
    </row>
    <row r="39" spans="1:6" ht="19.5" customHeight="1" x14ac:dyDescent="0.25">
      <c r="A39" s="5">
        <v>2.0813795337437604E-7</v>
      </c>
      <c r="B39" s="5">
        <v>4.5579557027431897E-10</v>
      </c>
      <c r="C39" s="6">
        <v>514</v>
      </c>
      <c r="E39" s="6">
        <f>Thermal[[#This Row], [Temp (C)]]+273</f>
        <v>787</v>
      </c>
      <c r="F39" s="5">
        <f>Thermal[[#This Row], [Thermal Diffusivity (m^2/s)]]*((2579-0.624*E39)*1884)</f>
        <v>0.81873690827292755</v>
      </c>
    </row>
    <row r="40" spans="1:6" ht="19.5" customHeight="1" x14ac:dyDescent="0.25">
      <c r="A40" s="5">
        <v>2.0751798767272132E-7</v>
      </c>
      <c r="B40" s="5">
        <v>4.5050757722172041E-10</v>
      </c>
      <c r="C40" s="6">
        <v>515</v>
      </c>
      <c r="E40" s="6">
        <f>Thermal[[#This Row], [Temp (C)]]+273</f>
        <v>788</v>
      </c>
      <c r="F40" s="5">
        <f>Thermal[[#This Row], [Thermal Diffusivity (m^2/s)]]*((2579-0.624*E40)*1884)</f>
        <v>0.81605423347424166</v>
      </c>
    </row>
    <row r="41" spans="1:6" ht="19.5" customHeight="1" x14ac:dyDescent="0.25">
      <c r="A41" s="5">
        <v>2.0767839339730518E-7</v>
      </c>
      <c r="B41" s="5">
        <v>4.8969668655345428E-10</v>
      </c>
      <c r="C41" s="6">
        <v>516</v>
      </c>
      <c r="E41" s="6">
        <f>Thermal[[#This Row], [Temp (C)]]+273</f>
        <v>789</v>
      </c>
      <c r="F41" s="5">
        <f>Thermal[[#This Row], [Thermal Diffusivity (m^2/s)]]*((2579-0.624*E41)*1884)</f>
        <v>0.81644087101870932</v>
      </c>
    </row>
    <row r="42" spans="1:6" ht="19.5" customHeight="1" x14ac:dyDescent="0.25">
      <c r="A42" s="5">
        <v>2.0905739285013842E-7</v>
      </c>
      <c r="B42" s="5">
        <v>4.6179558207567089E-10</v>
      </c>
      <c r="C42" s="6">
        <v>517</v>
      </c>
      <c r="E42" s="6">
        <f>Thermal[[#This Row], [Temp (C)]]+273</f>
        <v>790</v>
      </c>
      <c r="F42" s="5">
        <f>Thermal[[#This Row], [Thermal Diffusivity (m^2/s)]]*((2579-0.624*E42)*1884)</f>
        <v>0.82161632584359756</v>
      </c>
    </row>
    <row r="43" spans="1:6" ht="19.5" customHeight="1" x14ac:dyDescent="0.25">
      <c r="A43" s="5">
        <v>2.0566083201742993E-7</v>
      </c>
      <c r="B43" s="5">
        <v>4.0710722164193757E-10</v>
      </c>
      <c r="C43" s="6">
        <v>518</v>
      </c>
      <c r="E43" s="6">
        <f>Thermal[[#This Row], [Temp (C)]]+273</f>
        <v>791</v>
      </c>
      <c r="F43" s="5">
        <f>Thermal[[#This Row], [Thermal Diffusivity (m^2/s)]]*((2579-0.624*E43)*1884)</f>
        <v>0.80802572612407597</v>
      </c>
    </row>
    <row r="44" spans="1:6" ht="19.5" customHeight="1" x14ac:dyDescent="0.25">
      <c r="A44" s="5">
        <v>2.0604978735852341E-7</v>
      </c>
      <c r="B44" s="5">
        <v>4.5837057766975796E-10</v>
      </c>
      <c r="C44" s="6">
        <v>519</v>
      </c>
      <c r="E44" s="6">
        <f>Thermal[[#This Row], [Temp (C)]]+273</f>
        <v>792</v>
      </c>
      <c r="F44" s="5">
        <f>Thermal[[#This Row], [Thermal Diffusivity (m^2/s)]]*((2579-0.624*E44)*1884)</f>
        <v>0.80931166657223841</v>
      </c>
    </row>
    <row r="45" spans="1:6" ht="19.5" customHeight="1" x14ac:dyDescent="0.25">
      <c r="A45" s="5">
        <v>2.0561898137538925E-7</v>
      </c>
      <c r="B45" s="5">
        <v>3.9258404034100852E-10</v>
      </c>
      <c r="C45" s="6">
        <v>520</v>
      </c>
      <c r="E45" s="6">
        <f>Thermal[[#This Row], [Temp (C)]]+273</f>
        <v>793</v>
      </c>
      <c r="F45" s="5">
        <f>Thermal[[#This Row], [Thermal Diffusivity (m^2/s)]]*((2579-0.624*E45)*1884)</f>
        <v>0.80737784021404335</v>
      </c>
    </row>
    <row r="46" spans="1:6" ht="19.5" customHeight="1" x14ac:dyDescent="0.25">
      <c r="A46" s="5">
        <v>2.0645845629516077E-7</v>
      </c>
      <c r="B46" s="5">
        <v>4.1484694777756409E-10</v>
      </c>
      <c r="C46" s="6">
        <v>521</v>
      </c>
      <c r="E46" s="6">
        <f>Thermal[[#This Row], [Temp (C)]]+273</f>
        <v>794</v>
      </c>
      <c r="F46" s="5">
        <f>Thermal[[#This Row], [Thermal Diffusivity (m^2/s)]]*((2579-0.624*E46)*1884)</f>
        <v>0.8104313834939757</v>
      </c>
    </row>
    <row r="47" spans="1:6" ht="19.5" customHeight="1" x14ac:dyDescent="0.25">
      <c r="A47" s="5">
        <v>2.0684660690852367E-7</v>
      </c>
      <c r="B47" s="5">
        <v>4.3898860174679335E-10</v>
      </c>
      <c r="C47" s="6">
        <v>522</v>
      </c>
      <c r="E47" s="6">
        <f>Thermal[[#This Row], [Temp (C)]]+273</f>
        <v>795</v>
      </c>
      <c r="F47" s="5">
        <f>Thermal[[#This Row], [Thermal Diffusivity (m^2/s)]]*((2579-0.624*E47)*1884)</f>
        <v>0.81171185652622369</v>
      </c>
    </row>
    <row r="48" spans="1:6" ht="19.5" customHeight="1" x14ac:dyDescent="0.25">
      <c r="A48" s="5">
        <v>2.0428847771095392E-7</v>
      </c>
      <c r="B48" s="5">
        <v>4.2378417719631807E-10</v>
      </c>
      <c r="C48" s="6">
        <v>523</v>
      </c>
      <c r="E48" s="6">
        <f>Thermal[[#This Row], [Temp (C)]]+273</f>
        <v>796</v>
      </c>
      <c r="F48" s="5">
        <f>Thermal[[#This Row], [Thermal Diffusivity (m^2/s)]]*((2579-0.624*E48)*1884)</f>
        <v>0.80143302668911842</v>
      </c>
    </row>
    <row r="49" spans="1:6" ht="19.5" customHeight="1" x14ac:dyDescent="0.25">
      <c r="A49" s="5">
        <v>2.0469328903769467E-7</v>
      </c>
      <c r="B49" s="5">
        <v>4.4768381608034367E-10</v>
      </c>
      <c r="C49" s="6">
        <v>524</v>
      </c>
      <c r="E49" s="6">
        <f>Thermal[[#This Row], [Temp (C)]]+273</f>
        <v>797</v>
      </c>
      <c r="F49" s="5">
        <f>Thermal[[#This Row], [Thermal Diffusivity (m^2/s)]]*((2579-0.624*E49)*1884)</f>
        <v>0.80278047930354146</v>
      </c>
    </row>
    <row r="50" spans="1:6" ht="19.5" customHeight="1" x14ac:dyDescent="0.25">
      <c r="A50" s="5">
        <v>2.0497256919455382E-7</v>
      </c>
      <c r="B50" s="5">
        <v>4.5726265493025789E-10</v>
      </c>
      <c r="C50" s="6">
        <v>525</v>
      </c>
      <c r="E50" s="6">
        <f>Thermal[[#This Row], [Temp (C)]]+273</f>
        <v>798</v>
      </c>
      <c r="F50" s="5">
        <f>Thermal[[#This Row], [Thermal Diffusivity (m^2/s)]]*((2579-0.624*E50)*1884)</f>
        <v>0.80363481075382182</v>
      </c>
    </row>
    <row r="51" spans="1:6" ht="19.5" customHeight="1" x14ac:dyDescent="0.25">
      <c r="A51" s="5">
        <v>2.0657659821812087E-7</v>
      </c>
      <c r="B51" s="5">
        <v>4.7914176964401764E-10</v>
      </c>
      <c r="C51" s="6">
        <v>526</v>
      </c>
      <c r="E51" s="6">
        <f>Thermal[[#This Row], [Temp (C)]]+273</f>
        <v>799</v>
      </c>
      <c r="F51" s="5">
        <f>Thermal[[#This Row], [Thermal Diffusivity (m^2/s)]]*((2579-0.624*E51)*1884)</f>
        <v>0.80968086366119685</v>
      </c>
    </row>
    <row r="52" spans="1:6" ht="19.5" customHeight="1" x14ac:dyDescent="0.25">
      <c r="A52" s="5">
        <v>2.1020681762565485E-7</v>
      </c>
      <c r="B52" s="5">
        <v>5.2003007002672105E-10</v>
      </c>
      <c r="C52" s="6">
        <v>527</v>
      </c>
      <c r="E52" s="6">
        <f>Thermal[[#This Row], [Temp (C)]]+273</f>
        <v>800</v>
      </c>
      <c r="F52" s="5">
        <f>Thermal[[#This Row], [Thermal Diffusivity (m^2/s)]]*((2579-0.624*E52)*1884)</f>
        <v>0.82366245443712482</v>
      </c>
    </row>
    <row r="53" spans="1:6" ht="19.5" customHeight="1" x14ac:dyDescent="0.25">
      <c r="A53" s="5">
        <v>2.0813279837706954E-7</v>
      </c>
      <c r="B53" s="5">
        <v>4.9420980026557795E-10</v>
      </c>
      <c r="C53" s="6">
        <v>528</v>
      </c>
      <c r="E53" s="6">
        <f>Thermal[[#This Row], [Temp (C)]]+273</f>
        <v>801</v>
      </c>
      <c r="F53" s="5">
        <f>Thermal[[#This Row], [Thermal Diffusivity (m^2/s)]]*((2579-0.624*E53)*1884)</f>
        <v>0.81529105096986454</v>
      </c>
    </row>
    <row r="54" spans="1:6" ht="19.5" customHeight="1" x14ac:dyDescent="0.25">
      <c r="A54" s="5">
        <v>2.0726087438761007E-7</v>
      </c>
      <c r="B54" s="5">
        <v>4.9697508157261735E-10</v>
      </c>
      <c r="C54" s="6">
        <v>529</v>
      </c>
      <c r="E54" s="6">
        <f>Thermal[[#This Row], [Temp (C)]]+273</f>
        <v>802</v>
      </c>
      <c r="F54" s="5">
        <f>Thermal[[#This Row], [Thermal Diffusivity (m^2/s)]]*((2579-0.624*E54)*1884)</f>
        <v>0.81163191938253798</v>
      </c>
    </row>
    <row r="55" spans="1:6" ht="19.5" customHeight="1" x14ac:dyDescent="0.25">
      <c r="A55" s="5">
        <v>2.0806071426118162E-7</v>
      </c>
      <c r="B55" s="5">
        <v>4.8244033119982389E-10</v>
      </c>
      <c r="C55" s="6">
        <v>530</v>
      </c>
      <c r="E55" s="6">
        <f>Thermal[[#This Row], [Temp (C)]]+273</f>
        <v>803</v>
      </c>
      <c r="F55" s="5">
        <f>Thermal[[#This Row], [Thermal Diffusivity (m^2/s)]]*((2579-0.624*E55)*1884)</f>
        <v>0.81451948639847338</v>
      </c>
    </row>
    <row r="56" spans="1:6" ht="19.5" customHeight="1" x14ac:dyDescent="0.25">
      <c r="A56" s="5">
        <v>2.081832717683639E-7</v>
      </c>
      <c r="B56" s="5">
        <v>4.7350455393993206E-10</v>
      </c>
      <c r="C56" s="6">
        <v>531</v>
      </c>
      <c r="E56" s="6">
        <f>Thermal[[#This Row], [Temp (C)]]+273</f>
        <v>804</v>
      </c>
      <c r="F56" s="5">
        <f>Thermal[[#This Row], [Thermal Diffusivity (m^2/s)]]*((2579-0.624*E56)*1884)</f>
        <v>0.81475453294642775</v>
      </c>
    </row>
    <row r="57" spans="1:6" ht="19.5" customHeight="1" x14ac:dyDescent="0.25">
      <c r="A57" s="5">
        <v>2.0675933805871721E-7</v>
      </c>
      <c r="B57" s="5">
        <v>5.1967420016910996E-10</v>
      </c>
      <c r="C57" s="6">
        <v>532</v>
      </c>
      <c r="E57" s="6">
        <f>Thermal[[#This Row], [Temp (C)]]+273</f>
        <v>805</v>
      </c>
      <c r="F57" s="5">
        <f>Thermal[[#This Row], [Thermal Diffusivity (m^2/s)]]*((2579-0.624*E57)*1884)</f>
        <v>0.80893869838901955</v>
      </c>
    </row>
    <row r="58" spans="1:6" ht="19.5" customHeight="1" x14ac:dyDescent="0.25">
      <c r="A58" s="5">
        <v>2.0521603442528039E-7</v>
      </c>
      <c r="B58" s="5">
        <v>4.882662857136904E-10</v>
      </c>
      <c r="C58" s="6">
        <v>533</v>
      </c>
      <c r="E58" s="6">
        <f>Thermal[[#This Row], [Temp (C)]]+273</f>
        <v>806</v>
      </c>
      <c r="F58" s="5">
        <f>Thermal[[#This Row], [Thermal Diffusivity (m^2/s)]]*((2579-0.624*E58)*1884)</f>
        <v>0.80265932150010189</v>
      </c>
    </row>
    <row r="59" spans="1:6" ht="19.5" customHeight="1" x14ac:dyDescent="0.25">
      <c r="A59" s="5">
        <v>2.0822465975827197E-7</v>
      </c>
      <c r="B59" s="5">
        <v>5.1874467183913097E-10</v>
      </c>
      <c r="C59" s="6">
        <v>534</v>
      </c>
      <c r="E59" s="6">
        <f>Thermal[[#This Row], [Temp (C)]]+273</f>
        <v>807</v>
      </c>
      <c r="F59" s="5">
        <f>Thermal[[#This Row], [Thermal Diffusivity (m^2/s)]]*((2579-0.624*E59)*1884)</f>
        <v>0.81418213394489392</v>
      </c>
    </row>
    <row r="60" spans="1:6" ht="19.5" customHeight="1" x14ac:dyDescent="0.25">
      <c r="A60" s="5">
        <v>2.0921109176041691E-7</v>
      </c>
      <c r="B60" s="5">
        <v>5.0314891067066043E-10</v>
      </c>
      <c r="C60" s="6">
        <v>535</v>
      </c>
      <c r="E60" s="6">
        <f>Thermal[[#This Row], [Temp (C)]]+273</f>
        <v>808</v>
      </c>
      <c r="F60" s="5">
        <f>Thermal[[#This Row], [Thermal Diffusivity (m^2/s)]]*((2579-0.624*E60)*1884)</f>
        <v>0.81779324350919747</v>
      </c>
    </row>
    <row r="61" spans="1:6" ht="19.5" customHeight="1" x14ac:dyDescent="0.25">
      <c r="A61" s="5">
        <v>2.0721892725030302E-7</v>
      </c>
      <c r="B61" s="5">
        <v>5.4322643251083356E-10</v>
      </c>
      <c r="C61" s="6">
        <v>536</v>
      </c>
      <c r="E61" s="6">
        <f>Thermal[[#This Row], [Temp (C)]]+273</f>
        <v>809</v>
      </c>
      <c r="F61" s="5">
        <f>Thermal[[#This Row], [Thermal Diffusivity (m^2/s)]]*((2579-0.624*E61)*1884)</f>
        <v>0.80976238552511504</v>
      </c>
    </row>
    <row r="62" spans="1:6" ht="19.5" customHeight="1" x14ac:dyDescent="0.25">
      <c r="A62" s="5">
        <v>2.064547467333001E-7</v>
      </c>
      <c r="B62" s="5">
        <v>4.5982515840262573E-10</v>
      </c>
      <c r="C62" s="6">
        <v>537</v>
      </c>
      <c r="E62" s="6">
        <f>Thermal[[#This Row], [Temp (C)]]+273</f>
        <v>810</v>
      </c>
      <c r="F62" s="5">
        <f>Thermal[[#This Row], [Thermal Diffusivity (m^2/s)]]*((2579-0.624*E62)*1884)</f>
        <v>0.80653343793479249</v>
      </c>
    </row>
    <row r="63" spans="1:6" ht="19.5" customHeight="1" x14ac:dyDescent="0.25">
      <c r="A63" s="5">
        <v>2.0821398219804335E-7</v>
      </c>
      <c r="B63" s="5">
        <v>4.5890799966877791E-10</v>
      </c>
      <c r="C63" s="6">
        <v>538</v>
      </c>
      <c r="E63" s="6">
        <f>Thermal[[#This Row], [Temp (C)]]+273</f>
        <v>811</v>
      </c>
      <c r="F63" s="5">
        <f>Thermal[[#This Row], [Thermal Diffusivity (m^2/s)]]*((2579-0.624*E63)*1884)</f>
        <v>0.81316126471277117</v>
      </c>
    </row>
    <row r="64" spans="1:6" ht="19.5" customHeight="1" x14ac:dyDescent="0.25">
      <c r="A64" s="5">
        <v>2.0782995255461522E-7</v>
      </c>
      <c r="B64" s="5">
        <v>4.672960642723295E-10</v>
      </c>
      <c r="C64" s="6">
        <v>539</v>
      </c>
      <c r="E64" s="6">
        <f>Thermal[[#This Row], [Temp (C)]]+273</f>
        <v>812</v>
      </c>
      <c r="F64" s="5">
        <f>Thermal[[#This Row], [Thermal Diffusivity (m^2/s)]]*((2579-0.624*E64)*1884)</f>
        <v>0.81141714273866972</v>
      </c>
    </row>
    <row r="65" spans="1:6" ht="19.5" customHeight="1" x14ac:dyDescent="0.25">
      <c r="A65" s="5">
        <v>2.1006367606152486E-7</v>
      </c>
      <c r="B65" s="5">
        <v>4.4807644431996536E-10</v>
      </c>
      <c r="C65" s="6">
        <v>540</v>
      </c>
      <c r="E65" s="6">
        <f>Thermal[[#This Row], [Temp (C)]]+273</f>
        <v>813</v>
      </c>
      <c r="F65" s="5">
        <f>Thermal[[#This Row], [Thermal Diffusivity (m^2/s)]]*((2579-0.624*E65)*1884)</f>
        <v>0.81989117182092108</v>
      </c>
    </row>
    <row r="66" spans="1:6" ht="19.5" customHeight="1" x14ac:dyDescent="0.25">
      <c r="A66" s="5">
        <v>2.1052981677414996E-7</v>
      </c>
      <c r="B66" s="5">
        <v>4.4065350371917821E-10</v>
      </c>
      <c r="C66" s="6">
        <v>541</v>
      </c>
      <c r="E66" s="6">
        <f>Thermal[[#This Row], [Temp (C)]]+273</f>
        <v>814</v>
      </c>
      <c r="F66" s="5">
        <f>Thermal[[#This Row], [Thermal Diffusivity (m^2/s)]]*((2579-0.624*E66)*1884)</f>
        <v>0.82146304485916177</v>
      </c>
    </row>
    <row r="67" spans="1:6" ht="19.5" customHeight="1" x14ac:dyDescent="0.25">
      <c r="A67" s="5">
        <v>2.0908600020399137E-7</v>
      </c>
      <c r="B67" s="5">
        <v>4.6229195237950897E-10</v>
      </c>
      <c r="C67" s="6">
        <v>542</v>
      </c>
      <c r="E67" s="6">
        <f>Thermal[[#This Row], [Temp (C)]]+273</f>
        <v>815</v>
      </c>
      <c r="F67" s="5">
        <f>Thermal[[#This Row], [Thermal Diffusivity (m^2/s)]]*((2579-0.624*E67)*1884)</f>
        <v>0.81558363440627091</v>
      </c>
    </row>
    <row r="68" spans="1:6" ht="19.5" customHeight="1" x14ac:dyDescent="0.25">
      <c r="A68" s="5">
        <v>2.0667133117805535E-7</v>
      </c>
      <c r="B68" s="5">
        <v>4.3783424625533185E-10</v>
      </c>
      <c r="C68" s="6">
        <v>543</v>
      </c>
      <c r="E68" s="6">
        <f>Thermal[[#This Row], [Temp (C)]]+273</f>
        <v>816</v>
      </c>
      <c r="F68" s="5">
        <f>Thermal[[#This Row], [Thermal Diffusivity (m^2/s)]]*((2579-0.624*E68)*1884)</f>
        <v>0.80592174717769349</v>
      </c>
    </row>
    <row r="69" spans="1:6" ht="19.5" customHeight="1" x14ac:dyDescent="0.25">
      <c r="A69" s="5">
        <v>2.0868079792678321E-7</v>
      </c>
      <c r="B69" s="5">
        <v>5.4929704092493889E-10</v>
      </c>
      <c r="C69" s="6">
        <v>544</v>
      </c>
      <c r="E69" s="6">
        <f>Thermal[[#This Row], [Temp (C)]]+273</f>
        <v>817</v>
      </c>
      <c r="F69" s="5">
        <f>Thermal[[#This Row], [Thermal Diffusivity (m^2/s)]]*((2579-0.624*E69)*1884)</f>
        <v>0.81351240128308178</v>
      </c>
    </row>
    <row r="70" spans="1:6" ht="19.5" customHeight="1" x14ac:dyDescent="0.25">
      <c r="A70" s="5">
        <v>2.0836098637482409E-7</v>
      </c>
      <c r="B70" s="5">
        <v>4.832293079916086E-10</v>
      </c>
      <c r="C70" s="6">
        <v>545</v>
      </c>
      <c r="E70" s="6">
        <f>Thermal[[#This Row], [Temp (C)]]+273</f>
        <v>818</v>
      </c>
      <c r="F70" s="5">
        <f>Thermal[[#This Row], [Thermal Diffusivity (m^2/s)]]*((2579-0.624*E70)*1884)</f>
        <v>0.8120207089386402</v>
      </c>
    </row>
    <row r="71" spans="1:6" ht="19.5" customHeight="1" x14ac:dyDescent="0.25">
      <c r="A71" s="5">
        <v>2.099546064381801E-7</v>
      </c>
      <c r="B71" s="5">
        <v>5.019661011705812E-10</v>
      </c>
      <c r="C71" s="6">
        <v>546</v>
      </c>
      <c r="E71" s="6">
        <f>Thermal[[#This Row], [Temp (C)]]+273</f>
        <v>819</v>
      </c>
      <c r="F71" s="5">
        <f>Thermal[[#This Row], [Thermal Diffusivity (m^2/s)]]*((2579-0.624*E71)*1884)</f>
        <v>0.81798451054827304</v>
      </c>
    </row>
    <row r="72" spans="1:6" ht="19.5" customHeight="1" x14ac:dyDescent="0.25">
      <c r="A72" s="5">
        <v>2.0866952194957196E-7</v>
      </c>
      <c r="B72" s="5">
        <v>5.3762212591810545E-10</v>
      </c>
      <c r="C72" s="6">
        <v>547</v>
      </c>
      <c r="E72" s="6">
        <f>Thermal[[#This Row], [Temp (C)]]+273</f>
        <v>820</v>
      </c>
      <c r="F72" s="5">
        <f>Thermal[[#This Row], [Thermal Diffusivity (m^2/s)]]*((2579-0.624*E72)*1884)</f>
        <v>0.81273249780403078</v>
      </c>
    </row>
    <row r="73" spans="1:6" ht="19.5" customHeight="1" x14ac:dyDescent="0.25">
      <c r="A73" s="5">
        <v>2.0836125567505386E-7</v>
      </c>
      <c r="B73" s="5">
        <v>5.1077567020416132E-10</v>
      </c>
      <c r="C73" s="6">
        <v>548</v>
      </c>
      <c r="E73" s="6">
        <f>Thermal[[#This Row], [Temp (C)]]+273</f>
        <v>821</v>
      </c>
      <c r="F73" s="5">
        <f>Thermal[[#This Row], [Thermal Diffusivity (m^2/s)]]*((2579-0.624*E73)*1884)</f>
        <v>0.81128689997282333</v>
      </c>
    </row>
    <row r="74" spans="1:6" ht="19.5" customHeight="1" x14ac:dyDescent="0.25">
      <c r="A74" s="5">
        <v>2.0059345275386793E-7</v>
      </c>
      <c r="B74" s="5">
        <v>5.2408861766438353E-10</v>
      </c>
      <c r="C74" s="6">
        <v>477</v>
      </c>
      <c r="E74" s="6">
        <f>Thermal[[#This Row], [Temp (C)]]+273</f>
        <v>750</v>
      </c>
      <c r="F74" s="5">
        <f>Thermal[[#This Row], [Thermal Diffusivity (m^2/s)]]*((2579-0.624*E74)*1884)</f>
        <v>0.79778503519027422</v>
      </c>
    </row>
    <row r="75" spans="1:6" ht="19.5" customHeight="1" x14ac:dyDescent="0.25">
      <c r="A75" s="5">
        <v>1.9894291243473752E-7</v>
      </c>
      <c r="B75" s="5">
        <v>4.3331900615904896E-10</v>
      </c>
      <c r="C75" s="6">
        <v>479</v>
      </c>
      <c r="E75" s="6">
        <f>Thermal[[#This Row], [Temp (C)]]+273</f>
        <v>752</v>
      </c>
      <c r="F75" s="5">
        <f>Thermal[[#This Row], [Thermal Diffusivity (m^2/s)]]*((2579-0.624*E75)*1884)</f>
        <v>0.79075287073220324</v>
      </c>
    </row>
    <row r="76" spans="1:6" ht="19.5" customHeight="1" x14ac:dyDescent="0.25">
      <c r="A76" s="5">
        <v>2.0248051960933054E-7</v>
      </c>
      <c r="B76" s="5">
        <v>4.1722228204792513E-10</v>
      </c>
      <c r="C76" s="6">
        <v>481</v>
      </c>
      <c r="E76" s="6">
        <f>Thermal[[#This Row], [Temp (C)]]+273</f>
        <v>754</v>
      </c>
      <c r="F76" s="5">
        <f>Thermal[[#This Row], [Thermal Diffusivity (m^2/s)]]*((2579-0.624*E76)*1884)</f>
        <v>0.80433797671657492</v>
      </c>
    </row>
    <row r="77" spans="1:6" ht="19.5" customHeight="1" x14ac:dyDescent="0.25">
      <c r="A77" s="5">
        <v>2.0178203589733754E-7</v>
      </c>
      <c r="B77" s="5">
        <v>4.0906692408041501E-10</v>
      </c>
      <c r="C77" s="6">
        <v>483</v>
      </c>
      <c r="E77" s="6">
        <f>Thermal[[#This Row], [Temp (C)]]+273</f>
        <v>756</v>
      </c>
      <c r="F77" s="5">
        <f>Thermal[[#This Row], [Thermal Diffusivity (m^2/s)]]*((2579-0.624*E77)*1884)</f>
        <v>0.80108886859668171</v>
      </c>
    </row>
    <row r="78" spans="1:6" ht="19.5" customHeight="1" x14ac:dyDescent="0.25">
      <c r="A78" s="5">
        <v>2.0360135642492169E-7</v>
      </c>
      <c r="B78" s="5">
        <v>4.352232319560102E-10</v>
      </c>
      <c r="C78" s="6">
        <v>485</v>
      </c>
      <c r="E78" s="6">
        <f>Thermal[[#This Row], [Temp (C)]]+273</f>
        <v>758</v>
      </c>
      <c r="F78" s="5">
        <f>Thermal[[#This Row], [Thermal Diffusivity (m^2/s)]]*((2579-0.624*E78)*1884)</f>
        <v>0.80783298497223144</v>
      </c>
    </row>
    <row r="79" spans="1:6" ht="19.5" customHeight="1" x14ac:dyDescent="0.25">
      <c r="A79" s="5">
        <v>2.0536804377092914E-7</v>
      </c>
      <c r="B79" s="5">
        <v>4.6854701234424456E-10</v>
      </c>
      <c r="C79" s="6">
        <v>487</v>
      </c>
      <c r="E79" s="6">
        <f>Thermal[[#This Row], [Temp (C)]]+273</f>
        <v>760</v>
      </c>
      <c r="F79" s="5">
        <f>Thermal[[#This Row], [Thermal Diffusivity (m^2/s)]]*((2579-0.624*E79)*1884)</f>
        <v>0.81435983613295482</v>
      </c>
    </row>
    <row r="80" spans="1:6" ht="19.5" customHeight="1" x14ac:dyDescent="0.25">
      <c r="A80" s="5">
        <v>2.0158270297132406E-7</v>
      </c>
      <c r="B80" s="5">
        <v>4.3214798301321202E-10</v>
      </c>
      <c r="C80" s="6">
        <v>489</v>
      </c>
      <c r="E80" s="6">
        <f>Thermal[[#This Row], [Temp (C)]]+273</f>
        <v>762</v>
      </c>
      <c r="F80" s="5">
        <f>Thermal[[#This Row], [Thermal Diffusivity (m^2/s)]]*((2579-0.624*E80)*1884)</f>
        <v>0.79887559976088829</v>
      </c>
    </row>
    <row r="81" spans="1:6" ht="19.5" customHeight="1" x14ac:dyDescent="0.25">
      <c r="A81" s="5">
        <v>2.0418570393929544E-7</v>
      </c>
      <c r="B81" s="5">
        <v>5.90113827445946E-10</v>
      </c>
      <c r="C81" s="6">
        <v>492</v>
      </c>
      <c r="E81" s="6">
        <f>Thermal[[#This Row], [Temp (C)]]+273</f>
        <v>765</v>
      </c>
      <c r="F81" s="5">
        <f>Thermal[[#This Row], [Thermal Diffusivity (m^2/s)]]*((2579-0.624*E81)*1884)</f>
        <v>0.80847120388603189</v>
      </c>
    </row>
    <row r="82" spans="1:6" ht="19.5" customHeight="1" x14ac:dyDescent="0.25">
      <c r="A82" s="5">
        <v>2.0154600833988962E-7</v>
      </c>
      <c r="B82" s="5">
        <v>4.7988327357228917E-10</v>
      </c>
      <c r="C82" s="6">
        <v>494</v>
      </c>
      <c r="E82" s="6">
        <f>Thermal[[#This Row], [Temp (C)]]+273</f>
        <v>767</v>
      </c>
      <c r="F82" s="5">
        <f>Thermal[[#This Row], [Thermal Diffusivity (m^2/s)]]*((2579-0.624*E82)*1884)</f>
        <v>0.79754547476638649</v>
      </c>
    </row>
    <row r="83" spans="1:6" ht="19.5" customHeight="1" x14ac:dyDescent="0.25">
      <c r="A83" s="5">
        <v>2.0409590968888694E-7</v>
      </c>
      <c r="B83" s="5">
        <v>4.5886751578177189E-10</v>
      </c>
      <c r="C83" s="6">
        <v>496</v>
      </c>
      <c r="E83" s="6">
        <f>Thermal[[#This Row], [Temp (C)]]+273</f>
        <v>769</v>
      </c>
      <c r="F83" s="5">
        <f>Thermal[[#This Row], [Thermal Diffusivity (m^2/s)]]*((2579-0.624*E83)*1884)</f>
        <v>0.8071559108031735</v>
      </c>
    </row>
    <row r="84" spans="1:6" ht="19.5" customHeight="1" x14ac:dyDescent="0.25">
      <c r="A84" s="5">
        <v>2.0311473053611881E-7</v>
      </c>
      <c r="B84" s="5">
        <v>4.5781511630951881E-10</v>
      </c>
      <c r="C84" s="6">
        <v>498</v>
      </c>
      <c r="E84" s="6">
        <f>Thermal[[#This Row], [Temp (C)]]+273</f>
        <v>771</v>
      </c>
      <c r="F84" s="5">
        <f>Thermal[[#This Row], [Thermal Diffusivity (m^2/s)]]*((2579-0.624*E84)*1884)</f>
        <v>0.80279798610059805</v>
      </c>
    </row>
    <row r="85" spans="1:6" ht="19.5" customHeight="1" x14ac:dyDescent="0.25">
      <c r="A85" s="5">
        <v>2.0280832982199248E-7</v>
      </c>
      <c r="B85" s="5">
        <v>4.4836666266020435E-10</v>
      </c>
      <c r="C85" s="6">
        <v>500</v>
      </c>
      <c r="E85" s="6">
        <f>Thermal[[#This Row], [Temp (C)]]+273</f>
        <v>773</v>
      </c>
      <c r="F85" s="5">
        <f>Thermal[[#This Row], [Thermal Diffusivity (m^2/s)]]*((2579-0.624*E85)*1884)</f>
        <v>0.80111010743310584</v>
      </c>
    </row>
    <row r="86" spans="1:6" ht="19.5" customHeight="1" x14ac:dyDescent="0.25">
      <c r="A86" s="5">
        <v>2.0486366830773534E-7</v>
      </c>
      <c r="B86" s="5">
        <v>4.5414916420981512E-10</v>
      </c>
      <c r="C86" s="6">
        <v>502</v>
      </c>
      <c r="E86" s="6">
        <f>Thermal[[#This Row], [Temp (C)]]+273</f>
        <v>775</v>
      </c>
      <c r="F86" s="5">
        <f>Thermal[[#This Row], [Thermal Diffusivity (m^2/s)]]*((2579-0.624*E86)*1884)</f>
        <v>0.80874718679770197</v>
      </c>
    </row>
    <row r="87" spans="1:6" ht="19.5" customHeight="1" x14ac:dyDescent="0.25">
      <c r="A87" s="5">
        <v>2.0601542815730503E-7</v>
      </c>
      <c r="B87" s="5">
        <v>4.6962191382285719E-10</v>
      </c>
      <c r="C87" s="6">
        <v>504</v>
      </c>
      <c r="E87" s="6">
        <f>Thermal[[#This Row], [Temp (C)]]+273</f>
        <v>777</v>
      </c>
      <c r="F87" s="5">
        <f>Thermal[[#This Row], [Thermal Diffusivity (m^2/s)]]*((2579-0.624*E87)*1884)</f>
        <v>0.81280963778780202</v>
      </c>
    </row>
    <row r="88" spans="1:6" ht="19.5" customHeight="1" x14ac:dyDescent="0.25">
      <c r="A88" s="5">
        <v>2.0252269159655833E-7</v>
      </c>
      <c r="B88" s="5">
        <v>5.0005054918582682E-10</v>
      </c>
      <c r="C88" s="6">
        <v>506</v>
      </c>
      <c r="E88" s="6">
        <f>Thermal[[#This Row], [Temp (C)]]+273</f>
        <v>779</v>
      </c>
      <c r="F88" s="5">
        <f>Thermal[[#This Row], [Thermal Diffusivity (m^2/s)]]*((2579-0.624*E88)*1884)</f>
        <v>0.79855327871175508</v>
      </c>
    </row>
    <row r="89" spans="1:6" ht="19.5" customHeight="1" x14ac:dyDescent="0.25">
      <c r="A89" s="5">
        <v>2.0309627367698602E-7</v>
      </c>
      <c r="B89" s="5">
        <v>5.2664782480283464E-10</v>
      </c>
      <c r="C89" s="6">
        <v>508</v>
      </c>
      <c r="E89" s="6">
        <f>Thermal[[#This Row], [Temp (C)]]+273</f>
        <v>781</v>
      </c>
      <c r="F89" s="5">
        <f>Thermal[[#This Row], [Thermal Diffusivity (m^2/s)]]*((2579-0.624*E89)*1884)</f>
        <v>0.80033740425618305</v>
      </c>
    </row>
    <row r="90" spans="1:6" ht="19.5" customHeight="1" x14ac:dyDescent="0.25">
      <c r="A90" s="5">
        <v>2.0634192201121518E-7</v>
      </c>
      <c r="B90" s="5">
        <v>5.0640933989736629E-10</v>
      </c>
      <c r="C90" s="6">
        <v>510</v>
      </c>
      <c r="E90" s="6">
        <f>Thermal[[#This Row], [Temp (C)]]+273</f>
        <v>783</v>
      </c>
      <c r="F90" s="5">
        <f>Thermal[[#This Row], [Thermal Diffusivity (m^2/s)]]*((2579-0.624*E90)*1884)</f>
        <v>0.81264230769235657</v>
      </c>
    </row>
    <row r="91" spans="1:6" ht="19.5" customHeight="1" x14ac:dyDescent="0.25">
      <c r="A91" s="5">
        <v>2.0655701021513972E-7</v>
      </c>
      <c r="B91" s="5">
        <v>5.4181130495220399E-10</v>
      </c>
      <c r="C91" s="6">
        <v>512</v>
      </c>
      <c r="E91" s="6">
        <f>Thermal[[#This Row], [Temp (C)]]+273</f>
        <v>785</v>
      </c>
      <c r="F91" s="5">
        <f>Thermal[[#This Row], [Thermal Diffusivity (m^2/s)]]*((2579-0.624*E91)*1884)</f>
        <v>0.81300373228063949</v>
      </c>
    </row>
    <row r="92" spans="1:6" ht="19.5" customHeight="1" x14ac:dyDescent="0.25">
      <c r="A92" s="5">
        <v>2.0784968119608726E-7</v>
      </c>
      <c r="B92" s="5">
        <v>5.4246933607567014E-10</v>
      </c>
      <c r="C92" s="6">
        <v>514</v>
      </c>
      <c r="E92" s="6">
        <f>Thermal[[#This Row], [Temp (C)]]+273</f>
        <v>787</v>
      </c>
      <c r="F92" s="5">
        <f>Thermal[[#This Row], [Thermal Diffusivity (m^2/s)]]*((2579-0.624*E92)*1884)</f>
        <v>0.81760295327737353</v>
      </c>
    </row>
    <row r="93" spans="1:6" ht="19.5" customHeight="1" x14ac:dyDescent="0.25">
      <c r="A93" s="5">
        <v>2.070005779707566E-7</v>
      </c>
      <c r="B93" s="5">
        <v>4.7982553709159085E-10</v>
      </c>
      <c r="C93" s="6">
        <v>516</v>
      </c>
      <c r="E93" s="6">
        <f>Thermal[[#This Row], [Temp (C)]]+273</f>
        <v>789</v>
      </c>
      <c r="F93" s="5">
        <f>Thermal[[#This Row], [Thermal Diffusivity (m^2/s)]]*((2579-0.624*E93)*1884)</f>
        <v>0.81377619219397213</v>
      </c>
    </row>
    <row r="94" spans="1:6" ht="19.5" customHeight="1" x14ac:dyDescent="0.25">
      <c r="A94" s="5">
        <v>2.0604245508076705E-7</v>
      </c>
      <c r="B94" s="5">
        <v>4.2511213688061802E-10</v>
      </c>
      <c r="C94" s="6">
        <v>518</v>
      </c>
      <c r="E94" s="6">
        <f>Thermal[[#This Row], [Temp (C)]]+273</f>
        <v>791</v>
      </c>
      <c r="F94" s="5">
        <f>Thermal[[#This Row], [Thermal Diffusivity (m^2/s)]]*((2579-0.624*E94)*1884)</f>
        <v>0.80952509403887918</v>
      </c>
    </row>
    <row r="95" spans="1:6" ht="19.5" customHeight="1" x14ac:dyDescent="0.25">
      <c r="A95" s="5">
        <v>2.0625058250980897E-7</v>
      </c>
      <c r="B95" s="5">
        <v>3.9175660698017896E-10</v>
      </c>
      <c r="C95" s="6">
        <v>520</v>
      </c>
      <c r="E95" s="6">
        <f>Thermal[[#This Row], [Temp (C)]]+273</f>
        <v>793</v>
      </c>
      <c r="F95" s="5">
        <f>Thermal[[#This Row], [Thermal Diffusivity (m^2/s)]]*((2579-0.624*E95)*1884)</f>
        <v>0.80985786786700387</v>
      </c>
    </row>
    <row r="96" spans="1:6" ht="19.5" customHeight="1" x14ac:dyDescent="0.25">
      <c r="A96" s="5">
        <v>2.0869837237793046E-7</v>
      </c>
      <c r="B96" s="5">
        <v>4.2472668732803393E-10</v>
      </c>
      <c r="C96" s="6">
        <v>522</v>
      </c>
      <c r="E96" s="6">
        <f>Thermal[[#This Row], [Temp (C)]]+273</f>
        <v>795</v>
      </c>
      <c r="F96" s="5">
        <f>Thermal[[#This Row], [Thermal Diffusivity (m^2/s)]]*((2579-0.624*E96)*1884)</f>
        <v>0.81897859398683903</v>
      </c>
    </row>
    <row r="97" spans="1:6" ht="19.5" customHeight="1" x14ac:dyDescent="0.25">
      <c r="A97" s="5">
        <v>2.0649074723464255E-7</v>
      </c>
      <c r="B97" s="5">
        <v>4.2540342935676184E-10</v>
      </c>
      <c r="C97" s="6">
        <v>524</v>
      </c>
      <c r="E97" s="6">
        <f>Thermal[[#This Row], [Temp (C)]]+273</f>
        <v>797</v>
      </c>
      <c r="F97" s="5">
        <f>Thermal[[#This Row], [Thermal Diffusivity (m^2/s)]]*((2579-0.624*E97)*1884)</f>
        <v>0.80982987676868345</v>
      </c>
    </row>
    <row r="98" spans="1:6" ht="19.5" customHeight="1" x14ac:dyDescent="0.25">
      <c r="A98" s="5">
        <v>2.0630221090934044E-7</v>
      </c>
      <c r="B98" s="5">
        <v>4.4843453520026845E-10</v>
      </c>
      <c r="C98" s="6">
        <v>526</v>
      </c>
      <c r="E98" s="6">
        <f>Thermal[[#This Row], [Temp (C)]]+273</f>
        <v>799</v>
      </c>
      <c r="F98" s="5">
        <f>Thermal[[#This Row], [Thermal Diffusivity (m^2/s)]]*((2579-0.624*E98)*1884)</f>
        <v>0.80860539744156035</v>
      </c>
    </row>
    <row r="99" spans="1:6" ht="19.5" customHeight="1" x14ac:dyDescent="0.25">
      <c r="A99" s="5">
        <v>2.103034233766309E-7</v>
      </c>
      <c r="B99" s="5">
        <v>6.1013649171949736E-10</v>
      </c>
      <c r="C99" s="6">
        <v>528</v>
      </c>
      <c r="E99" s="6">
        <f>Thermal[[#This Row], [Temp (C)]]+273</f>
        <v>801</v>
      </c>
      <c r="F99" s="5">
        <f>Thermal[[#This Row], [Thermal Diffusivity (m^2/s)]]*((2579-0.624*E99)*1884)</f>
        <v>0.82379375285516632</v>
      </c>
    </row>
    <row r="100" spans="1:6" ht="19.5" customHeight="1" x14ac:dyDescent="0.25">
      <c r="A100" s="5">
        <v>2.0876231662725692E-7</v>
      </c>
      <c r="B100" s="5">
        <v>4.5492134376504443E-10</v>
      </c>
      <c r="C100" s="6">
        <v>530</v>
      </c>
      <c r="E100" s="6">
        <f>Thermal[[#This Row], [Temp (C)]]+273</f>
        <v>803</v>
      </c>
      <c r="F100" s="5">
        <f>Thermal[[#This Row], [Thermal Diffusivity (m^2/s)]]*((2579-0.624*E100)*1884)</f>
        <v>0.81726613081378685</v>
      </c>
    </row>
    <row r="101" spans="1:6" ht="19.5" customHeight="1" x14ac:dyDescent="0.25">
      <c r="A101" s="5">
        <v>2.0933213292471364E-7</v>
      </c>
      <c r="B101" s="5">
        <v>4.275207041762078E-10</v>
      </c>
      <c r="C101" s="6">
        <v>532</v>
      </c>
      <c r="E101" s="6">
        <f>Thermal[[#This Row], [Temp (C)]]+273</f>
        <v>805</v>
      </c>
      <c r="F101" s="5">
        <f>Thermal[[#This Row], [Thermal Diffusivity (m^2/s)]]*((2579-0.624*E101)*1884)</f>
        <v>0.81900466856314558</v>
      </c>
    </row>
    <row r="102" spans="1:6" ht="19.5" customHeight="1" x14ac:dyDescent="0.25">
      <c r="A102" s="5">
        <v>2.0855610627347747E-7</v>
      </c>
      <c r="B102" s="5">
        <v>3.796758589995894E-10</v>
      </c>
      <c r="C102" s="6">
        <v>534</v>
      </c>
      <c r="E102" s="6">
        <f>Thermal[[#This Row], [Temp (C)]]+273</f>
        <v>807</v>
      </c>
      <c r="F102" s="5">
        <f>Thermal[[#This Row], [Thermal Diffusivity (m^2/s)]]*((2579-0.624*E102)*1884)</f>
        <v>0.81547812756712812</v>
      </c>
    </row>
    <row r="103" spans="1:6" ht="19.5" customHeight="1" x14ac:dyDescent="0.25">
      <c r="A103" s="5">
        <v>2.0941771574011555E-7</v>
      </c>
      <c r="B103" s="5">
        <v>4.3337577009650704E-10</v>
      </c>
      <c r="C103" s="6">
        <v>536</v>
      </c>
      <c r="E103" s="6">
        <f>Thermal[[#This Row], [Temp (C)]]+273</f>
        <v>809</v>
      </c>
      <c r="F103" s="5">
        <f>Thermal[[#This Row], [Thermal Diffusivity (m^2/s)]]*((2579-0.624*E103)*1884)</f>
        <v>0.81835472907404705</v>
      </c>
    </row>
    <row r="104" spans="1:6" ht="19.5" customHeight="1" x14ac:dyDescent="0.25">
      <c r="A104" s="5">
        <v>2.0856537979744683E-7</v>
      </c>
      <c r="B104" s="5">
        <v>3.8890707657153325E-10</v>
      </c>
      <c r="C104" s="6">
        <v>538</v>
      </c>
      <c r="E104" s="6">
        <f>Thermal[[#This Row], [Temp (C)]]+273</f>
        <v>811</v>
      </c>
      <c r="F104" s="5">
        <f>Thermal[[#This Row], [Thermal Diffusivity (m^2/s)]]*((2579-0.624*E104)*1884)</f>
        <v>0.81453361691184767</v>
      </c>
    </row>
    <row r="105" spans="1:6" ht="19.5" customHeight="1" x14ac:dyDescent="0.25">
      <c r="A105" s="5">
        <v>2.0913391953584617E-7</v>
      </c>
      <c r="B105" s="5">
        <v>3.5727735943020419E-10</v>
      </c>
      <c r="C105" s="6">
        <v>540</v>
      </c>
      <c r="E105" s="6">
        <f>Thermal[[#This Row], [Temp (C)]]+273</f>
        <v>813</v>
      </c>
      <c r="F105" s="5">
        <f>Thermal[[#This Row], [Thermal Diffusivity (m^2/s)]]*((2579-0.624*E105)*1884)</f>
        <v>0.8162622761372923</v>
      </c>
    </row>
    <row r="106" spans="1:6" ht="19.5" customHeight="1" x14ac:dyDescent="0.25">
      <c r="A106" s="5">
        <v>2.0995849037867194E-7</v>
      </c>
      <c r="B106" s="5">
        <v>6.5791224725632509E-10</v>
      </c>
      <c r="C106" s="6">
        <v>543</v>
      </c>
      <c r="E106" s="6">
        <f>Thermal[[#This Row], [Temp (C)]]+273</f>
        <v>816</v>
      </c>
      <c r="F106" s="5">
        <f>Thermal[[#This Row], [Thermal Diffusivity (m^2/s)]]*((2579-0.624*E106)*1884)</f>
        <v>0.81874013408753432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66A0-C8D6-4590-AADB-37E8D01A3090}">
  <dimension ref="A1:L20"/>
  <sheetViews>
    <sheetView workbookViewId="0">
      <selection activeCell="G30" sqref="G30"/>
    </sheetView>
  </sheetViews>
  <sheetFormatPr defaultRowHeight="15" x14ac:dyDescent="0.25"/>
  <cols>
    <col min="4" max="5" width="11.5703125" customWidth="1"/>
    <col min="6" max="6" width="16.5703125" customWidth="1"/>
  </cols>
  <sheetData>
    <row r="1" spans="1:12" x14ac:dyDescent="0.25">
      <c r="D1" t="s">
        <v>118</v>
      </c>
      <c r="E1" t="s">
        <v>119</v>
      </c>
      <c r="F1" t="s">
        <v>120</v>
      </c>
      <c r="G1" t="s">
        <v>128</v>
      </c>
      <c r="H1" t="s">
        <v>129</v>
      </c>
      <c r="I1" t="s">
        <v>130</v>
      </c>
      <c r="K1" t="s">
        <v>135</v>
      </c>
    </row>
    <row r="2" spans="1:12" x14ac:dyDescent="0.25">
      <c r="A2" t="s">
        <v>117</v>
      </c>
      <c r="D2">
        <v>0.342095327984898</v>
      </c>
      <c r="E2">
        <v>2.2857142857142998</v>
      </c>
      <c r="F2" t="s">
        <v>123</v>
      </c>
      <c r="G2">
        <f>$G$7</f>
        <v>6.0040106951871426</v>
      </c>
      <c r="I2">
        <v>3</v>
      </c>
      <c r="J2">
        <f>SUM($B$8*E2/100*G2/I2)</f>
        <v>5.8278930481283561E-3</v>
      </c>
      <c r="K2">
        <v>0.92679</v>
      </c>
      <c r="L2">
        <f>E2/100*K2</f>
        <v>2.1183771428571561E-2</v>
      </c>
    </row>
    <row r="3" spans="1:12" x14ac:dyDescent="0.25">
      <c r="B3" t="s">
        <v>132</v>
      </c>
      <c r="D3">
        <v>0.342095327984898</v>
      </c>
      <c r="E3">
        <v>8.7619047619048303</v>
      </c>
      <c r="F3" t="s">
        <v>124</v>
      </c>
      <c r="G3">
        <f t="shared" ref="G3:G6" si="0">$G$7</f>
        <v>6.0040106951871426</v>
      </c>
      <c r="I3">
        <v>2</v>
      </c>
      <c r="J3">
        <f t="shared" ref="J3:J6" si="1">SUM($B$8*E3/100*G3/I3)</f>
        <v>3.3510385026738101E-2</v>
      </c>
      <c r="K3">
        <v>0.68876000000000004</v>
      </c>
      <c r="L3">
        <f t="shared" ref="L3:L6" si="2">E3/100*K3</f>
        <v>6.0348495238095712E-2</v>
      </c>
    </row>
    <row r="4" spans="1:12" x14ac:dyDescent="0.25">
      <c r="A4" t="s">
        <v>133</v>
      </c>
      <c r="B4" s="36">
        <v>5.8439999999999999E-2</v>
      </c>
      <c r="D4">
        <v>0.342095327984898</v>
      </c>
      <c r="E4">
        <v>9.6507936507937302</v>
      </c>
      <c r="F4" t="s">
        <v>125</v>
      </c>
      <c r="G4">
        <f t="shared" si="0"/>
        <v>6.0040106951871426</v>
      </c>
      <c r="I4">
        <v>4</v>
      </c>
      <c r="J4">
        <f t="shared" si="1"/>
        <v>1.8454994652406503E-2</v>
      </c>
      <c r="K4">
        <v>1.16482</v>
      </c>
      <c r="L4">
        <f t="shared" si="2"/>
        <v>0.11241437460317553</v>
      </c>
    </row>
    <row r="5" spans="1:12" x14ac:dyDescent="0.25">
      <c r="A5" t="s">
        <v>134</v>
      </c>
      <c r="B5" s="37">
        <v>0.34438790000000002</v>
      </c>
      <c r="D5">
        <v>0.342095327984898</v>
      </c>
      <c r="E5">
        <v>12.888888888888999</v>
      </c>
      <c r="F5" t="s">
        <v>126</v>
      </c>
      <c r="G5">
        <f t="shared" si="0"/>
        <v>6.0040106951871426</v>
      </c>
      <c r="I5">
        <v>1</v>
      </c>
      <c r="J5">
        <f t="shared" si="1"/>
        <v>9.8588524064171582E-2</v>
      </c>
      <c r="K5">
        <v>0.45073000000000002</v>
      </c>
      <c r="L5">
        <f t="shared" si="2"/>
        <v>5.8094088888889388E-2</v>
      </c>
    </row>
    <row r="6" spans="1:12" x14ac:dyDescent="0.25">
      <c r="D6">
        <v>0.342095327984899</v>
      </c>
      <c r="E6">
        <v>66.666666666666501</v>
      </c>
      <c r="F6" t="s">
        <v>127</v>
      </c>
      <c r="G6">
        <f t="shared" si="0"/>
        <v>6.0040106951871426</v>
      </c>
      <c r="I6">
        <v>5</v>
      </c>
      <c r="J6">
        <f t="shared" si="1"/>
        <v>0.10198812834224535</v>
      </c>
      <c r="K6">
        <v>1.6408799999999999</v>
      </c>
      <c r="L6">
        <f t="shared" si="2"/>
        <v>1.0939199999999971</v>
      </c>
    </row>
    <row r="7" spans="1:12" x14ac:dyDescent="0.25">
      <c r="A7" t="s">
        <v>137</v>
      </c>
      <c r="B7" t="s">
        <v>136</v>
      </c>
      <c r="C7" t="s">
        <v>121</v>
      </c>
      <c r="D7">
        <v>0.34179104477611899</v>
      </c>
      <c r="E7">
        <v>2.0053475935828402</v>
      </c>
      <c r="F7">
        <v>8</v>
      </c>
      <c r="G7">
        <f>SUM(F7*E7,F8*E8,F9*E9,F10*E10)/100</f>
        <v>6.0040106951871426</v>
      </c>
      <c r="H7" t="s">
        <v>122</v>
      </c>
      <c r="I7" t="s">
        <v>131</v>
      </c>
      <c r="J7">
        <f>1+SUM(J2:J6)</f>
        <v>1.2583699251336899</v>
      </c>
      <c r="L7">
        <f>SUM(L2:L6)</f>
        <v>1.3459607301587293</v>
      </c>
    </row>
    <row r="8" spans="1:12" x14ac:dyDescent="0.25">
      <c r="A8">
        <v>0.24640000000000001</v>
      </c>
      <c r="B8">
        <v>0.12740000000000001</v>
      </c>
      <c r="D8">
        <v>0.34179104477611899</v>
      </c>
      <c r="E8">
        <v>17.780748663101502</v>
      </c>
      <c r="F8">
        <v>7</v>
      </c>
      <c r="L8">
        <f>L7*B8</f>
        <v>0.17147539702222214</v>
      </c>
    </row>
    <row r="9" spans="1:12" x14ac:dyDescent="0.25">
      <c r="D9">
        <v>0.34179104477611899</v>
      </c>
      <c r="E9">
        <v>19.786096256684399</v>
      </c>
      <c r="F9">
        <v>5</v>
      </c>
    </row>
    <row r="10" spans="1:12" x14ac:dyDescent="0.25">
      <c r="D10">
        <v>0.34179104477611999</v>
      </c>
      <c r="E10">
        <v>60.160427807486499</v>
      </c>
      <c r="F10">
        <v>6</v>
      </c>
    </row>
    <row r="12" spans="1:12" x14ac:dyDescent="0.25">
      <c r="A12" t="s">
        <v>116</v>
      </c>
      <c r="D12">
        <v>0.37012741859367598</v>
      </c>
      <c r="E12">
        <v>1.3968253968254001</v>
      </c>
      <c r="F12" t="s">
        <v>123</v>
      </c>
      <c r="G12">
        <f>$G$17</f>
        <v>5.9832887700534636</v>
      </c>
      <c r="I12">
        <v>3</v>
      </c>
      <c r="J12">
        <f>SUM($B$18*E12/100*G12/I12)</f>
        <v>3.7609243697479008E-3</v>
      </c>
      <c r="K12">
        <v>0.92679</v>
      </c>
      <c r="L12">
        <f>E12/100*K12</f>
        <v>1.2945638095238125E-2</v>
      </c>
    </row>
    <row r="13" spans="1:12" x14ac:dyDescent="0.25">
      <c r="D13">
        <v>0.37012741859367598</v>
      </c>
      <c r="E13">
        <v>5.5873015873016101</v>
      </c>
      <c r="F13" t="s">
        <v>125</v>
      </c>
      <c r="G13">
        <f t="shared" ref="G13:G16" si="3">$G$17</f>
        <v>5.9832887700534636</v>
      </c>
      <c r="I13">
        <v>4</v>
      </c>
      <c r="J13">
        <f t="shared" ref="J13:J16" si="4">SUM($B$18*E13/100*G13/I13)</f>
        <v>1.1282773109243721E-2</v>
      </c>
      <c r="K13">
        <v>1.16482</v>
      </c>
      <c r="L13">
        <f t="shared" ref="L13:L16" si="5">E13/100*K13</f>
        <v>6.508200634920662E-2</v>
      </c>
    </row>
    <row r="14" spans="1:12" x14ac:dyDescent="0.25">
      <c r="D14">
        <v>0.37012741859367598</v>
      </c>
      <c r="E14">
        <v>6.2857142857143602</v>
      </c>
      <c r="F14" t="s">
        <v>124</v>
      </c>
      <c r="G14">
        <f t="shared" si="3"/>
        <v>5.9832887700534636</v>
      </c>
      <c r="I14">
        <v>2</v>
      </c>
      <c r="J14">
        <f t="shared" si="4"/>
        <v>2.5386239495798567E-2</v>
      </c>
      <c r="K14">
        <v>0.68876000000000004</v>
      </c>
      <c r="L14">
        <f t="shared" si="5"/>
        <v>4.3293485714286227E-2</v>
      </c>
    </row>
    <row r="15" spans="1:12" x14ac:dyDescent="0.25">
      <c r="D15">
        <v>0.37012741859367598</v>
      </c>
      <c r="E15">
        <v>9.3333333333334494</v>
      </c>
      <c r="F15" t="s">
        <v>126</v>
      </c>
      <c r="G15">
        <f t="shared" si="3"/>
        <v>5.9832887700534636</v>
      </c>
      <c r="I15">
        <v>1</v>
      </c>
      <c r="J15">
        <f t="shared" si="4"/>
        <v>7.5389438502674586E-2</v>
      </c>
      <c r="K15">
        <v>0.45073000000000002</v>
      </c>
      <c r="L15">
        <f t="shared" si="5"/>
        <v>4.2068133333333854E-2</v>
      </c>
    </row>
    <row r="16" spans="1:12" x14ac:dyDescent="0.25">
      <c r="D16">
        <v>0.37012741859367598</v>
      </c>
      <c r="E16">
        <v>77.460317460317398</v>
      </c>
      <c r="F16" t="s">
        <v>127</v>
      </c>
      <c r="G16">
        <f t="shared" si="3"/>
        <v>5.9832887700534636</v>
      </c>
      <c r="I16">
        <v>5</v>
      </c>
      <c r="J16">
        <f t="shared" si="4"/>
        <v>0.12513621084797522</v>
      </c>
      <c r="K16">
        <v>1.6408799999999999</v>
      </c>
      <c r="L16">
        <f t="shared" si="5"/>
        <v>1.2710308571428559</v>
      </c>
    </row>
    <row r="17" spans="1:12" x14ac:dyDescent="0.25">
      <c r="A17" t="s">
        <v>137</v>
      </c>
      <c r="B17" t="s">
        <v>136</v>
      </c>
      <c r="C17" t="s">
        <v>121</v>
      </c>
      <c r="D17">
        <v>0.37</v>
      </c>
      <c r="E17">
        <v>2.4732620320855401</v>
      </c>
      <c r="F17">
        <v>8</v>
      </c>
      <c r="G17">
        <f>SUM(F17*E17,F18*E18,F19*E19,F20*E20)/100</f>
        <v>5.9832887700534636</v>
      </c>
      <c r="H17" t="s">
        <v>122</v>
      </c>
      <c r="I17" t="s">
        <v>131</v>
      </c>
      <c r="J17">
        <f>1+SUM(J12:J16)</f>
        <v>1.24095558632544</v>
      </c>
      <c r="L17">
        <f>SUM(L12:L16)</f>
        <v>1.4344201206349207</v>
      </c>
    </row>
    <row r="18" spans="1:12" x14ac:dyDescent="0.25">
      <c r="A18">
        <v>0.22409999999999999</v>
      </c>
      <c r="B18">
        <v>0.13500000000000001</v>
      </c>
      <c r="D18">
        <v>0.37</v>
      </c>
      <c r="E18">
        <v>17.045454545454501</v>
      </c>
      <c r="F18">
        <v>7</v>
      </c>
      <c r="L18">
        <f>L17*B18</f>
        <v>0.19364671628571431</v>
      </c>
    </row>
    <row r="19" spans="1:12" x14ac:dyDescent="0.25">
      <c r="D19">
        <v>0.37</v>
      </c>
      <c r="E19">
        <v>21.6577540106952</v>
      </c>
      <c r="F19">
        <v>5</v>
      </c>
    </row>
    <row r="20" spans="1:12" x14ac:dyDescent="0.25">
      <c r="D20">
        <v>0.37</v>
      </c>
      <c r="E20">
        <v>58.489304812834099</v>
      </c>
      <c r="F20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ANL_NaCl_UCl3</vt:lpstr>
      <vt:lpstr>Robertson1.3CoF2</vt:lpstr>
      <vt:lpstr>Complexes</vt:lpstr>
      <vt:lpstr>Robertson1.3CoF2!ExternalData_1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Numbers, Jacob Clay</cp:lastModifiedBy>
  <dcterms:created xsi:type="dcterms:W3CDTF">2024-05-21T14:46:10Z</dcterms:created>
  <dcterms:modified xsi:type="dcterms:W3CDTF">2026-02-17T20:46:34Z</dcterms:modified>
</cp:coreProperties>
</file>