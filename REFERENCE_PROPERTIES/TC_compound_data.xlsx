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jnumbers_vols_utk_edu/Documents/Documents/2026-Structural-Coherence-Model/"/>
    </mc:Choice>
  </mc:AlternateContent>
  <xr:revisionPtr revIDLastSave="6" documentId="13_ncr:1_{A296B76C-EC5B-4344-9591-344623A2D40F}" xr6:coauthVersionLast="47" xr6:coauthVersionMax="47" xr10:uidLastSave="{51C95423-5C08-4E63-A31D-E822FF9E101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5" i="1" l="1"/>
  <c r="AT5" i="1"/>
  <c r="AN20" i="1"/>
  <c r="R20" i="1"/>
  <c r="E23" i="2"/>
  <c r="D23" i="2"/>
  <c r="F23" i="2" s="1"/>
  <c r="AH2" i="1"/>
  <c r="AL2" i="1" s="1"/>
  <c r="AQ12" i="1" l="1"/>
  <c r="AH12" i="1"/>
  <c r="R12" i="1"/>
  <c r="N12" i="1"/>
  <c r="AQ11" i="1"/>
  <c r="AN11" i="1"/>
  <c r="N11" i="1" s="1"/>
  <c r="AH11" i="1"/>
  <c r="R11" i="1"/>
  <c r="AH3" i="1"/>
  <c r="AL3" i="1" s="1"/>
  <c r="AH4" i="1"/>
  <c r="AL4" i="1" s="1"/>
  <c r="AH5" i="1"/>
  <c r="AH6" i="1"/>
  <c r="AH7" i="1"/>
  <c r="AH8" i="1"/>
  <c r="AH9" i="1"/>
  <c r="AH10" i="1"/>
  <c r="AH13" i="1"/>
  <c r="AH14" i="1"/>
  <c r="AL14" i="1" s="1"/>
  <c r="AH15" i="1"/>
  <c r="AL15" i="1" s="1"/>
  <c r="AH16" i="1"/>
  <c r="AL16" i="1" s="1"/>
  <c r="AH17" i="1"/>
  <c r="AL17" i="1" s="1"/>
  <c r="AH18" i="1"/>
  <c r="AL18" i="1" s="1"/>
  <c r="AH19" i="1"/>
  <c r="AL19" i="1" s="1"/>
  <c r="AH21" i="1"/>
  <c r="AH22" i="1"/>
  <c r="AH23" i="1"/>
  <c r="AQ13" i="1"/>
  <c r="R13" i="1"/>
  <c r="N13" i="1"/>
  <c r="AQ7" i="1"/>
  <c r="R7" i="1"/>
  <c r="R8" i="1"/>
  <c r="AN8" i="1"/>
  <c r="N8" i="1" s="1"/>
  <c r="AQ8" i="1"/>
  <c r="AQ9" i="1"/>
  <c r="AN9" i="1"/>
  <c r="N9" i="1" s="1"/>
  <c r="R9" i="1"/>
  <c r="AQ10" i="1"/>
  <c r="AN10" i="1"/>
  <c r="N10" i="1" s="1"/>
  <c r="R10" i="1"/>
  <c r="AQ19" i="1"/>
  <c r="AN19" i="1"/>
  <c r="N19" i="1" s="1"/>
  <c r="R19" i="1"/>
  <c r="AQ18" i="1"/>
  <c r="AN18" i="1"/>
  <c r="N18" i="1" s="1"/>
  <c r="R18" i="1"/>
  <c r="AQ17" i="1"/>
  <c r="AN17" i="1"/>
  <c r="N17" i="1" s="1"/>
  <c r="R17" i="1"/>
  <c r="AQ14" i="1"/>
  <c r="R14" i="1"/>
  <c r="N14" i="1"/>
  <c r="R15" i="1"/>
  <c r="AQ15" i="1"/>
  <c r="G3" i="2" l="1"/>
  <c r="G4" i="2"/>
  <c r="G2" i="2"/>
  <c r="G9" i="2" s="1"/>
  <c r="F3" i="2"/>
  <c r="F4" i="2"/>
  <c r="F2" i="2"/>
  <c r="F9" i="2" l="1"/>
  <c r="AQ16" i="1"/>
  <c r="AQ6" i="1"/>
  <c r="AQ23" i="1"/>
  <c r="AQ22" i="1"/>
  <c r="R6" i="1" l="1"/>
  <c r="AQ5" i="1"/>
  <c r="AN5" i="1"/>
  <c r="R22" i="1" l="1"/>
  <c r="R23" i="1"/>
  <c r="R3" i="1"/>
  <c r="R4" i="1"/>
  <c r="R16" i="1"/>
  <c r="R21" i="1"/>
  <c r="R2" i="1"/>
  <c r="AN23" i="1" l="1"/>
  <c r="AN22" i="1"/>
  <c r="AQ21" i="1" l="1"/>
  <c r="N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tc={0F2A2AAB-6BDF-4416-8CAD-D9A0BFB1B917}</author>
    <author>Jacob Numbers</author>
  </authors>
  <commentList>
    <comment ref="Z1" authorId="0" shapeId="0" xr:uid="{0F2A2AAB-6BDF-4416-8CAD-D9A0BFB1B91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Ionic radius data from R. D. Shannon, “Revised effective ionic radii and systematic studies of interatomic distances in halides and chalcogenides,” Acta Crystallographica 32, no. 5 (1976): 751–767.</t>
      </text>
    </comment>
    <comment ref="AQ6" authorId="1" shapeId="0" xr:uid="{8534754D-6E22-406C-8C2D-6B066F35104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Q14" authorId="1" shapeId="0" xr:uid="{3CDF8F77-F921-4B7F-A593-47323D49B8C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Q15" authorId="1" shapeId="0" xr:uid="{6FB3B2A5-A11E-479A-BA30-D9A87104514A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Q16" authorId="1" shapeId="0" xr:uid="{416C1EDE-6118-4855-BC50-C20B7737FD0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L22" authorId="1" shapeId="0" xr:uid="{97432A48-0D23-4B96-A793-B4BA7982AC02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N22" authorId="1" shapeId="0" xr:uid="{6BEBBE6F-1DEE-4545-9CDA-E4ADB98AD85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P22" authorId="1" shapeId="0" xr:uid="{F8E9BF4F-840A-4B0A-B4AE-EF6E3631183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T22" authorId="1" shapeId="0" xr:uid="{CF95DDBF-337E-4E10-8E45-9839742958E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V22" authorId="1" shapeId="0" xr:uid="{AEAD2971-BAD7-421B-9FA1-4D90C0C79B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X22" authorId="1" shapeId="0" xr:uid="{9A3388B4-7E36-4A28-B149-A47374460C8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Takahashi, 1988
https://link.springer.com/content/pdf/10.1007/bf01133275.pdf</t>
        </r>
      </text>
    </comment>
    <comment ref="Z22" authorId="1" shapeId="0" xr:uid="{62996933-0528-4AE6-86E0-4D1368854C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B22" authorId="1" shapeId="0" xr:uid="{2A29CB1F-2B7B-4973-8015-29E83F54F369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D22" authorId="1" shapeId="0" xr:uid="{0DEBB2EF-0E65-4813-ABD3-8C83B8A4143F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F22" authorId="1" shapeId="0" xr:uid="{C2946276-82F0-4BF4-9420-CB402E927041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P22" authorId="1" shapeId="0" xr:uid="{AE0BB34C-A5D1-41BE-87AE-51A7EBD5A194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https://pubs.aip.org/asa/jasa/article/32/9/1108/717969/Ultrasonic-Absoarption-and-Velocity-in-Molten-Salts</t>
        </r>
      </text>
    </comment>
    <comment ref="AQ22" authorId="1" shapeId="0" xr:uid="{C2E46A89-EDD4-49EB-B935-B955E945FDB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T22" authorId="1" shapeId="0" xr:uid="{16E1364E-AD3B-40EC-953B-8268268A1ED1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Janz, 1979
</t>
        </r>
      </text>
    </comment>
  </commentList>
</comments>
</file>

<file path=xl/sharedStrings.xml><?xml version="1.0" encoding="utf-8"?>
<sst xmlns="http://schemas.openxmlformats.org/spreadsheetml/2006/main" count="279" uniqueCount="104">
  <si>
    <t>Compound</t>
  </si>
  <si>
    <t>M_i (g/mol)</t>
  </si>
  <si>
    <t>T_i_m (K)</t>
  </si>
  <si>
    <t>V_i_m (m^3/mol)</t>
  </si>
  <si>
    <t>C_i_0 (m/s)</t>
  </si>
  <si>
    <t>C_i_p (J/mol/K)</t>
  </si>
  <si>
    <t>r_c (m)</t>
  </si>
  <si>
    <t>r_a (m)</t>
  </si>
  <si>
    <t>rho_m (g/m^3)</t>
  </si>
  <si>
    <t>LiF</t>
  </si>
  <si>
    <t>NaF</t>
  </si>
  <si>
    <t>KF</t>
  </si>
  <si>
    <t>NaCl</t>
  </si>
  <si>
    <t>KCl</t>
  </si>
  <si>
    <t>BeF2</t>
  </si>
  <si>
    <t>UCl3</t>
  </si>
  <si>
    <t>UF4</t>
  </si>
  <si>
    <t>ThF4</t>
  </si>
  <si>
    <t>ZrF4</t>
  </si>
  <si>
    <t>LiCl</t>
  </si>
  <si>
    <t>MgCl2</t>
  </si>
  <si>
    <t>CaCl2</t>
  </si>
  <si>
    <t>SrCl2</t>
  </si>
  <si>
    <t>CaF2</t>
  </si>
  <si>
    <t>MgF2</t>
  </si>
  <si>
    <t>SrF2</t>
  </si>
  <si>
    <t>RbF</t>
  </si>
  <si>
    <t>SoS(T)_A (A+B*T)</t>
  </si>
  <si>
    <t>SoS(T)_B</t>
  </si>
  <si>
    <t>Brockis</t>
  </si>
  <si>
    <t>OG r_c</t>
  </si>
  <si>
    <t>OG r_a</t>
  </si>
  <si>
    <t>NaNO3</t>
  </si>
  <si>
    <t>KNO3</t>
  </si>
  <si>
    <t>A (Density (g/cm3):   A - BT(K))</t>
  </si>
  <si>
    <t>B (Density (g/cm3):   A - BT(K))</t>
  </si>
  <si>
    <t>C_i_p_sp (J/g/K)</t>
  </si>
  <si>
    <t>Janz, 1979</t>
  </si>
  <si>
    <t>Janz, 1980</t>
  </si>
  <si>
    <t>Janz, 1981</t>
  </si>
  <si>
    <t>Janz, 1982</t>
  </si>
  <si>
    <t>Janz, 1983</t>
  </si>
  <si>
    <t>Desyatnik, 1979</t>
  </si>
  <si>
    <t>Desyatnik, 1978</t>
  </si>
  <si>
    <t>Cantor, 1969</t>
  </si>
  <si>
    <t>Hill, 1967</t>
  </si>
  <si>
    <t>Artemov, 1990</t>
  </si>
  <si>
    <t>Parker, 2022</t>
  </si>
  <si>
    <t>alpha_i_density (K^-1)</t>
  </si>
  <si>
    <t>alpha_i_m (K^-1)</t>
  </si>
  <si>
    <t>SoSA ©</t>
  </si>
  <si>
    <t>R_Tm</t>
  </si>
  <si>
    <t>R_M</t>
  </si>
  <si>
    <t>R_V</t>
  </si>
  <si>
    <t>R_am</t>
  </si>
  <si>
    <t>R_ad</t>
  </si>
  <si>
    <t>R_C</t>
  </si>
  <si>
    <t>R_Cp</t>
  </si>
  <si>
    <t>R_Cps</t>
  </si>
  <si>
    <t>R_rc</t>
  </si>
  <si>
    <t>R_ra</t>
  </si>
  <si>
    <t>R_rho</t>
  </si>
  <si>
    <t>R_SoS</t>
  </si>
  <si>
    <t>R_d</t>
  </si>
  <si>
    <t>Higgs, 1960</t>
  </si>
  <si>
    <t>Higgs, 1961</t>
  </si>
  <si>
    <t>Shannon, 1976 or Janz, 1967</t>
  </si>
  <si>
    <t>Gheribi, 2014</t>
  </si>
  <si>
    <t>CsF</t>
  </si>
  <si>
    <t>MSTDB</t>
  </si>
  <si>
    <t>Marcus, 2013</t>
  </si>
  <si>
    <t>Minchenko, 1983, 0.2%</t>
  </si>
  <si>
    <t>FLiNaK Molar Volume</t>
  </si>
  <si>
    <t>Kubikova,2013</t>
  </si>
  <si>
    <t>m_r (g/mol)</t>
  </si>
  <si>
    <t>Mc (g/mol)</t>
  </si>
  <si>
    <t>m_a (u)</t>
  </si>
  <si>
    <t>mu (u)</t>
  </si>
  <si>
    <t>R</t>
  </si>
  <si>
    <t>R_R</t>
  </si>
  <si>
    <t>c_i</t>
  </si>
  <si>
    <t>R_c_i</t>
  </si>
  <si>
    <t>ZnCl2</t>
  </si>
  <si>
    <t>https://pubchem.ncbi.nlm.nih.gov/compound/Zinc-Chloride?utm_source=chatgpt.com</t>
  </si>
  <si>
    <t>https://www.aimspress.com/aimspress-data/aimse/2014/2/PDF/20140202.pdf</t>
  </si>
  <si>
    <t>https://moltensalt.org/references/static/downloads/pdf/element-salt-densities.pdf</t>
  </si>
  <si>
    <t>Janz, https://moltensalt.org/references/static/downloads/pdf/element-salt-densities.pdf</t>
  </si>
  <si>
    <t>https://www.webelements.com/zinc/atom_sizes.html?utm_source=chatgpt.com</t>
  </si>
  <si>
    <t>Yamamura</t>
  </si>
  <si>
    <t>Int</t>
  </si>
  <si>
    <t>Slope</t>
  </si>
  <si>
    <t>Yamamura, 1993 https://tohoku.elsevierpure.com/en/publications/viscoelastic-properties-of-molten-znci2-mci-m-na-k-binary-systems</t>
  </si>
  <si>
    <t>TC_exp</t>
  </si>
  <si>
    <t>Ref</t>
  </si>
  <si>
    <t>LiF (Golyshev, 1992),LiF (Smirnov, 1987),LiF (Khlebnikov, 1981)</t>
  </si>
  <si>
    <t>NaF (Smirnov, 1987),NaF (Polyakov, 1975)</t>
  </si>
  <si>
    <t>KF (Smirnov, 1987)</t>
  </si>
  <si>
    <t>LiCl (Nagasaka, 1992)</t>
  </si>
  <si>
    <t>NaCl (Harada, 1992),NaCl (Nagasaka 1992)</t>
  </si>
  <si>
    <t>KCl (Harada, 1992),KCl (Nagasaka, 1992)</t>
  </si>
  <si>
    <t>MgCl2 (Filatov, 2005)</t>
  </si>
  <si>
    <t>CaCl2 (Janze, 1978)</t>
  </si>
  <si>
    <t>TC_SCM</t>
  </si>
  <si>
    <t>TC_exp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</si>
</sst>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0.000E+00"/>
    <numFmt numFmtId="166" formatCode="#,##0.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164" fontId="0" fillId="0" borderId="0" xfId="0" applyNumberFormat="1"/>
    <xf numFmtId="4" fontId="0" fillId="0" borderId="0" xfId="0" applyNumberFormat="1"/>
    <xf numFmtId="11" fontId="0" fillId="0" borderId="0" xfId="0" applyNumberFormat="1"/>
    <xf numFmtId="0" fontId="4" fillId="0" borderId="0" xfId="0" applyFont="1"/>
    <xf numFmtId="11" fontId="2" fillId="0" borderId="1" xfId="0" applyNumberFormat="1" applyFont="1" applyBorder="1" applyAlignment="1">
      <alignment horizontal="right"/>
    </xf>
    <xf numFmtId="11" fontId="1" fillId="0" borderId="1" xfId="0" applyNumberFormat="1" applyFont="1" applyBorder="1" applyAlignment="1">
      <alignment horizontal="right"/>
    </xf>
    <xf numFmtId="0" fontId="0" fillId="4" borderId="0" xfId="0" applyFill="1"/>
    <xf numFmtId="4" fontId="1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4" fontId="0" fillId="4" borderId="0" xfId="0" applyNumberFormat="1" applyFill="1" applyAlignment="1">
      <alignment horizontal="right"/>
    </xf>
    <xf numFmtId="164" fontId="1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4" fontId="0" fillId="4" borderId="0" xfId="0" applyNumberFormat="1" applyFill="1"/>
    <xf numFmtId="164" fontId="2" fillId="4" borderId="1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left"/>
    </xf>
    <xf numFmtId="4" fontId="0" fillId="4" borderId="0" xfId="0" applyNumberFormat="1" applyFill="1"/>
    <xf numFmtId="11" fontId="2" fillId="4" borderId="1" xfId="0" applyNumberFormat="1" applyFont="1" applyFill="1" applyBorder="1" applyAlignment="1">
      <alignment horizontal="right"/>
    </xf>
    <xf numFmtId="0" fontId="4" fillId="4" borderId="0" xfId="0" applyFont="1" applyFill="1"/>
    <xf numFmtId="3" fontId="1" fillId="5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1" fontId="2" fillId="5" borderId="1" xfId="0" applyNumberFormat="1" applyFont="1" applyFill="1" applyBorder="1" applyAlignment="1">
      <alignment horizontal="right"/>
    </xf>
    <xf numFmtId="0" fontId="0" fillId="5" borderId="0" xfId="0" applyFill="1"/>
    <xf numFmtId="165" fontId="0" fillId="0" borderId="0" xfId="0" applyNumberFormat="1"/>
    <xf numFmtId="3" fontId="1" fillId="6" borderId="1" xfId="0" applyNumberFormat="1" applyFont="1" applyFill="1" applyBorder="1" applyAlignment="1">
      <alignment horizontal="left"/>
    </xf>
    <xf numFmtId="4" fontId="2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/>
    </xf>
    <xf numFmtId="11" fontId="2" fillId="6" borderId="1" xfId="0" applyNumberFormat="1" applyFont="1" applyFill="1" applyBorder="1" applyAlignment="1">
      <alignment horizontal="right"/>
    </xf>
    <xf numFmtId="4" fontId="0" fillId="6" borderId="0" xfId="0" applyNumberFormat="1" applyFill="1"/>
    <xf numFmtId="0" fontId="0" fillId="6" borderId="0" xfId="0" applyFill="1"/>
    <xf numFmtId="11" fontId="0" fillId="6" borderId="0" xfId="0" applyNumberFormat="1" applyFill="1"/>
    <xf numFmtId="164" fontId="6" fillId="6" borderId="0" xfId="1" applyNumberFormat="1" applyFont="1" applyFill="1" applyAlignment="1"/>
    <xf numFmtId="0" fontId="0" fillId="6" borderId="1" xfId="0" applyFill="1" applyBorder="1"/>
    <xf numFmtId="164" fontId="0" fillId="6" borderId="0" xfId="0" applyNumberFormat="1" applyFill="1"/>
    <xf numFmtId="11" fontId="1" fillId="6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5" borderId="1" xfId="0" applyNumberFormat="1" applyFont="1" applyFill="1" applyBorder="1" applyAlignment="1">
      <alignment horizontal="right"/>
    </xf>
    <xf numFmtId="166" fontId="1" fillId="0" borderId="1" xfId="0" applyNumberFormat="1" applyFont="1" applyBorder="1" applyAlignment="1">
      <alignment horizontal="left"/>
    </xf>
    <xf numFmtId="166" fontId="2" fillId="6" borderId="1" xfId="0" applyNumberFormat="1" applyFont="1" applyFill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2" fillId="5" borderId="1" xfId="0" applyNumberFormat="1" applyFont="1" applyFill="1" applyBorder="1" applyAlignment="1">
      <alignment horizontal="right"/>
    </xf>
    <xf numFmtId="166" fontId="0" fillId="6" borderId="1" xfId="0" applyNumberFormat="1" applyFill="1" applyBorder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Numbers" id="{D840FA81-CD01-4E89-B2EB-0BCA2B05220B}" userId="S::jacobcn2@byu.edu::e750e138-e86f-4212-bf73-1b154c47f6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" dT="2025-10-09T09:58:25.59" personId="{D840FA81-CD01-4E89-B2EB-0BCA2B05220B}" id="{0F2A2AAB-6BDF-4416-8CAD-D9A0BFB1B917}">
    <text>Source: Ionic radius data from R. D. Shannon, “Revised effective ionic radii and systematic studies of interatomic distances in halides and chalcogenides,” Acta Crystallographica 32, no. 5 (1976): 751–767.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Z28"/>
  <sheetViews>
    <sheetView tabSelected="1" zoomScale="73" zoomScaleNormal="73" workbookViewId="0">
      <pane ySplit="1" topLeftCell="A2" activePane="bottomLeft" state="frozen"/>
      <selection pane="bottomLeft" activeCell="AN25" sqref="AN25"/>
    </sheetView>
  </sheetViews>
  <sheetFormatPr defaultRowHeight="15" x14ac:dyDescent="0.25"/>
  <cols>
    <col min="1" max="1" width="7.85546875" style="14" customWidth="1"/>
    <col min="2" max="2" width="11.42578125" style="14" customWidth="1"/>
    <col min="3" max="3" width="3.5703125" style="14" customWidth="1"/>
    <col min="4" max="4" width="11.42578125" style="14" customWidth="1"/>
    <col min="5" max="5" width="3.5703125" style="14" customWidth="1"/>
    <col min="6" max="6" width="11.42578125" style="14" customWidth="1"/>
    <col min="7" max="7" width="3.5703125" style="14" customWidth="1"/>
    <col min="8" max="8" width="13.140625" style="14" customWidth="1"/>
    <col min="9" max="9" width="3.28515625" style="14" customWidth="1"/>
    <col min="10" max="10" width="11.7109375" style="15" bestFit="1" customWidth="1"/>
    <col min="11" max="11" width="2.7109375" style="25" customWidth="1"/>
    <col min="12" max="12" width="14.140625" style="16" bestFit="1" customWidth="1"/>
    <col min="13" max="13" width="2.7109375" style="28" customWidth="1"/>
    <col min="14" max="14" width="16.28515625" style="62" bestFit="1" customWidth="1"/>
    <col min="15" max="15" width="2.7109375" style="28" customWidth="1"/>
    <col min="16" max="16" width="14.85546875" style="16" bestFit="1" customWidth="1"/>
    <col min="17" max="17" width="2.7109375" style="28" customWidth="1"/>
    <col min="18" max="18" width="14.85546875" style="16" customWidth="1"/>
    <col min="19" max="19" width="2.7109375" style="28" customWidth="1"/>
    <col min="20" max="20" width="11.140625" style="17" bestFit="1" customWidth="1"/>
    <col min="21" max="21" width="2.7109375" style="33" customWidth="1"/>
    <col min="22" max="22" width="15.42578125" style="17" bestFit="1" customWidth="1"/>
    <col min="23" max="23" width="2.7109375" style="33" customWidth="1"/>
    <col min="24" max="24" width="13.140625" style="17" customWidth="1"/>
    <col min="25" max="25" width="2.7109375" style="33" customWidth="1"/>
    <col min="26" max="26" width="14.140625" style="16" bestFit="1" customWidth="1"/>
    <col min="27" max="27" width="2.7109375" style="28" customWidth="1"/>
    <col min="28" max="28" width="12.28515625" style="16" bestFit="1" customWidth="1"/>
    <col min="29" max="29" width="2.7109375" style="28" customWidth="1"/>
    <col min="30" max="30" width="14.140625" style="16" bestFit="1" customWidth="1"/>
    <col min="31" max="31" width="2.7109375" style="28" customWidth="1"/>
    <col min="32" max="32" width="12.28515625" style="16" bestFit="1" customWidth="1"/>
    <col min="33" max="33" width="2.7109375" style="28" customWidth="1"/>
    <col min="34" max="34" width="20.140625" style="16" customWidth="1"/>
    <col min="35" max="35" width="2.7109375" style="28" customWidth="1"/>
    <col min="36" max="36" width="20.140625" style="16" customWidth="1"/>
    <col min="37" max="37" width="2.7109375" style="28" customWidth="1"/>
    <col min="38" max="38" width="20.140625" style="16" customWidth="1"/>
    <col min="39" max="39" width="2.7109375" style="28" customWidth="1"/>
    <col min="40" max="40" width="20.140625" style="16" customWidth="1"/>
    <col min="41" max="41" width="2.7109375" style="28" customWidth="1"/>
    <col min="42" max="42" width="11.5703125" style="16" customWidth="1"/>
    <col min="45" max="45" width="2.7109375" style="22" customWidth="1"/>
    <col min="46" max="46" width="13.28515625" customWidth="1"/>
    <col min="47" max="47" width="9.7109375" customWidth="1"/>
    <col min="48" max="48" width="2.7109375" style="22" customWidth="1"/>
  </cols>
  <sheetData>
    <row r="1" spans="1:52" ht="20.25" customHeight="1" x14ac:dyDescent="0.25">
      <c r="A1" s="1" t="s">
        <v>0</v>
      </c>
      <c r="B1" s="1" t="s">
        <v>102</v>
      </c>
      <c r="C1" s="1" t="s">
        <v>93</v>
      </c>
      <c r="D1" s="1" t="s">
        <v>92</v>
      </c>
      <c r="E1" s="1" t="s">
        <v>103</v>
      </c>
      <c r="F1" s="1" t="s">
        <v>74</v>
      </c>
      <c r="G1" s="1"/>
      <c r="H1" s="1" t="s">
        <v>75</v>
      </c>
      <c r="I1" s="1"/>
      <c r="J1" s="2" t="s">
        <v>1</v>
      </c>
      <c r="K1" s="23" t="s">
        <v>52</v>
      </c>
      <c r="L1" s="3" t="s">
        <v>2</v>
      </c>
      <c r="M1" s="26" t="s">
        <v>51</v>
      </c>
      <c r="N1" s="57" t="s">
        <v>3</v>
      </c>
      <c r="O1" s="26" t="s">
        <v>53</v>
      </c>
      <c r="P1" s="4" t="s">
        <v>49</v>
      </c>
      <c r="Q1" s="30" t="s">
        <v>54</v>
      </c>
      <c r="R1" s="4" t="s">
        <v>48</v>
      </c>
      <c r="S1" s="31" t="s">
        <v>55</v>
      </c>
      <c r="T1" s="5" t="s">
        <v>4</v>
      </c>
      <c r="U1" s="32" t="s">
        <v>56</v>
      </c>
      <c r="V1" s="5" t="s">
        <v>5</v>
      </c>
      <c r="W1" s="32" t="s">
        <v>57</v>
      </c>
      <c r="X1" s="5" t="s">
        <v>36</v>
      </c>
      <c r="Y1" s="32" t="s">
        <v>58</v>
      </c>
      <c r="Z1" s="3" t="s">
        <v>6</v>
      </c>
      <c r="AA1" s="26" t="s">
        <v>59</v>
      </c>
      <c r="AB1" s="3" t="s">
        <v>7</v>
      </c>
      <c r="AC1" s="26" t="s">
        <v>60</v>
      </c>
      <c r="AD1" s="3" t="s">
        <v>76</v>
      </c>
      <c r="AE1" s="26"/>
      <c r="AF1" s="3" t="s">
        <v>76</v>
      </c>
      <c r="AG1" s="26"/>
      <c r="AH1" s="6" t="s">
        <v>77</v>
      </c>
      <c r="AI1" s="31" t="s">
        <v>61</v>
      </c>
      <c r="AJ1" s="6" t="s">
        <v>78</v>
      </c>
      <c r="AK1" s="31" t="s">
        <v>79</v>
      </c>
      <c r="AL1" s="6" t="s">
        <v>80</v>
      </c>
      <c r="AM1" s="31" t="s">
        <v>81</v>
      </c>
      <c r="AN1" s="6" t="s">
        <v>8</v>
      </c>
      <c r="AO1" s="31" t="s">
        <v>61</v>
      </c>
      <c r="AP1" s="6" t="s">
        <v>50</v>
      </c>
      <c r="AQ1" t="s">
        <v>27</v>
      </c>
      <c r="AR1" t="s">
        <v>28</v>
      </c>
      <c r="AS1" s="22" t="s">
        <v>62</v>
      </c>
      <c r="AT1" t="s">
        <v>34</v>
      </c>
      <c r="AU1" t="s">
        <v>35</v>
      </c>
      <c r="AV1" s="22" t="s">
        <v>63</v>
      </c>
      <c r="AW1" t="s">
        <v>30</v>
      </c>
      <c r="AX1" t="s">
        <v>31</v>
      </c>
    </row>
    <row r="2" spans="1:52" s="47" customFormat="1" ht="20.25" customHeight="1" x14ac:dyDescent="0.25">
      <c r="A2" s="42" t="s">
        <v>9</v>
      </c>
      <c r="B2">
        <v>1.3235354500000001</v>
      </c>
      <c r="C2"/>
      <c r="D2">
        <v>1.260675242</v>
      </c>
      <c r="E2" t="s">
        <v>94</v>
      </c>
      <c r="F2" s="53">
        <v>5.07</v>
      </c>
      <c r="G2" s="42"/>
      <c r="H2" s="53">
        <v>6.94</v>
      </c>
      <c r="I2" s="42"/>
      <c r="J2" s="43">
        <v>25.939</v>
      </c>
      <c r="K2" s="43" t="s">
        <v>69</v>
      </c>
      <c r="L2" s="43">
        <v>1118.1500000000001</v>
      </c>
      <c r="M2" s="43" t="s">
        <v>67</v>
      </c>
      <c r="N2" s="58">
        <v>1.42E-5</v>
      </c>
      <c r="O2" s="43" t="s">
        <v>67</v>
      </c>
      <c r="P2" s="44">
        <v>2.6800000000000001E-4</v>
      </c>
      <c r="Q2" s="43" t="s">
        <v>67</v>
      </c>
      <c r="R2" s="44">
        <f>-(LN(AT2+(L2+1)*AU2)-LN(AT2+L2*AU2))</f>
        <v>2.7086797387065875E-4</v>
      </c>
      <c r="S2" s="44"/>
      <c r="T2" s="43">
        <v>2547.8000000000002</v>
      </c>
      <c r="U2" s="43" t="s">
        <v>67</v>
      </c>
      <c r="V2" s="43">
        <v>64.2</v>
      </c>
      <c r="W2" s="43" t="s">
        <v>67</v>
      </c>
      <c r="X2" s="43"/>
      <c r="Y2" s="43"/>
      <c r="Z2" s="45">
        <v>7.5999999999999996E-11</v>
      </c>
      <c r="AA2" s="45" t="s">
        <v>66</v>
      </c>
      <c r="AB2" s="45">
        <v>1.3300000000000001E-10</v>
      </c>
      <c r="AC2" s="45" t="s">
        <v>66</v>
      </c>
      <c r="AD2" s="45">
        <v>6.9409999999999998</v>
      </c>
      <c r="AE2" s="45"/>
      <c r="AF2" s="45">
        <v>18.998000000000001</v>
      </c>
      <c r="AG2" s="45"/>
      <c r="AH2" s="8">
        <f>(AD2*AF2)/(AD2+AF2)</f>
        <v>5.0836623616947456</v>
      </c>
      <c r="AI2" s="44"/>
      <c r="AJ2" s="44">
        <v>0.43690483689711634</v>
      </c>
      <c r="AK2" s="44"/>
      <c r="AL2" s="44">
        <f>SQRT(AJ2/AH2)</f>
        <v>0.2931602457457842</v>
      </c>
      <c r="AM2" s="44"/>
      <c r="AN2" s="44">
        <v>1810000</v>
      </c>
      <c r="AO2" s="44"/>
      <c r="AP2" s="44"/>
      <c r="AQ2" s="46">
        <v>3888</v>
      </c>
      <c r="AR2" s="47">
        <v>-1.1739999999999999</v>
      </c>
      <c r="AS2" s="47" t="s">
        <v>71</v>
      </c>
      <c r="AT2" s="48">
        <v>2.3580999999999999</v>
      </c>
      <c r="AU2" s="48">
        <v>-4.9019999999999999E-4</v>
      </c>
      <c r="AV2" s="47" t="s">
        <v>37</v>
      </c>
      <c r="AW2" s="44">
        <v>7.5999999999999996E-11</v>
      </c>
      <c r="AX2" s="44">
        <v>1.3300000000000001E-10</v>
      </c>
      <c r="AY2" s="44">
        <v>6E-11</v>
      </c>
      <c r="AZ2" s="44">
        <v>1.36E-10</v>
      </c>
    </row>
    <row r="3" spans="1:52" s="47" customFormat="1" ht="20.25" customHeight="1" x14ac:dyDescent="0.25">
      <c r="A3" s="42" t="s">
        <v>10</v>
      </c>
      <c r="B3" s="53">
        <v>0.88770240199999995</v>
      </c>
      <c r="C3" s="42"/>
      <c r="D3" s="53">
        <v>1.179152046</v>
      </c>
      <c r="E3" s="42" t="s">
        <v>95</v>
      </c>
      <c r="F3" s="53">
        <v>10.050000000000001</v>
      </c>
      <c r="G3" s="42"/>
      <c r="H3" s="53">
        <v>22.99</v>
      </c>
      <c r="I3" s="42"/>
      <c r="J3" s="43">
        <v>41.988</v>
      </c>
      <c r="K3" s="43" t="s">
        <v>69</v>
      </c>
      <c r="L3" s="43">
        <v>1268.1500000000001</v>
      </c>
      <c r="M3" s="43" t="s">
        <v>67</v>
      </c>
      <c r="N3" s="58">
        <v>2.16E-5</v>
      </c>
      <c r="O3" s="43" t="s">
        <v>67</v>
      </c>
      <c r="P3" s="44">
        <v>2.8800000000000001E-4</v>
      </c>
      <c r="Q3" s="43" t="s">
        <v>67</v>
      </c>
      <c r="R3" s="44">
        <f>-(LN(AT3+(L3+1)*AU3)-LN(AT3+L3*AU3))</f>
        <v>3.264654812797918E-4</v>
      </c>
      <c r="S3" s="44"/>
      <c r="T3" s="43">
        <v>2085.5</v>
      </c>
      <c r="U3" s="43" t="s">
        <v>67</v>
      </c>
      <c r="V3" s="43">
        <v>70.2</v>
      </c>
      <c r="W3" s="43" t="s">
        <v>67</v>
      </c>
      <c r="X3" s="43"/>
      <c r="Y3" s="43"/>
      <c r="Z3" s="44">
        <v>1.02E-10</v>
      </c>
      <c r="AA3" s="45" t="s">
        <v>66</v>
      </c>
      <c r="AB3" s="44">
        <v>1.3300000000000001E-10</v>
      </c>
      <c r="AC3" s="45" t="s">
        <v>66</v>
      </c>
      <c r="AD3" s="44">
        <v>22.99</v>
      </c>
      <c r="AE3" s="45"/>
      <c r="AF3" s="44">
        <v>18.998000000000001</v>
      </c>
      <c r="AG3" s="45"/>
      <c r="AH3" s="8">
        <f t="shared" ref="AH3:AH23" si="0">(AD3*AF3)/(AD3+AF3)</f>
        <v>10.402115366295133</v>
      </c>
      <c r="AI3" s="44"/>
      <c r="AJ3" s="44">
        <v>0.47194975512236703</v>
      </c>
      <c r="AK3" s="44"/>
      <c r="AL3" s="44">
        <f>SQRT(AJ3/AH3^2)</f>
        <v>6.6042912350503663E-2</v>
      </c>
      <c r="AM3" s="44"/>
      <c r="AN3" s="44">
        <v>1950000</v>
      </c>
      <c r="AO3" s="44"/>
      <c r="AP3" s="44"/>
      <c r="AQ3" s="46">
        <v>3296</v>
      </c>
      <c r="AR3" s="47">
        <v>-0.96</v>
      </c>
      <c r="AS3" s="47" t="s">
        <v>71</v>
      </c>
      <c r="AT3" s="48">
        <v>2.7549999999999999</v>
      </c>
      <c r="AU3" s="47">
        <v>-6.3599999999999996E-4</v>
      </c>
      <c r="AV3" s="47" t="s">
        <v>38</v>
      </c>
      <c r="AW3" s="44">
        <v>1.02E-10</v>
      </c>
      <c r="AX3" s="44">
        <v>1.3300000000000001E-10</v>
      </c>
      <c r="AY3" s="44">
        <v>9.4999999999999995E-11</v>
      </c>
      <c r="AZ3" s="44">
        <v>1.36E-10</v>
      </c>
    </row>
    <row r="4" spans="1:52" s="47" customFormat="1" ht="20.25" customHeight="1" x14ac:dyDescent="0.25">
      <c r="A4" s="42" t="s">
        <v>11</v>
      </c>
      <c r="B4" s="54">
        <v>0.58671239399999997</v>
      </c>
      <c r="C4" s="42"/>
      <c r="D4" s="54">
        <v>0.62277172300000005</v>
      </c>
      <c r="E4" s="42" t="s">
        <v>96</v>
      </c>
      <c r="F4" s="54">
        <v>13.18</v>
      </c>
      <c r="G4" s="42"/>
      <c r="H4" s="53">
        <v>39.1</v>
      </c>
      <c r="I4" s="42"/>
      <c r="J4" s="43">
        <v>58.097000000000001</v>
      </c>
      <c r="K4" s="43" t="s">
        <v>69</v>
      </c>
      <c r="L4" s="43">
        <v>1129.1500000000001</v>
      </c>
      <c r="M4" s="43" t="s">
        <v>67</v>
      </c>
      <c r="N4" s="58">
        <v>3.04E-5</v>
      </c>
      <c r="O4" s="43" t="s">
        <v>67</v>
      </c>
      <c r="P4" s="44">
        <v>3.4099999999999999E-4</v>
      </c>
      <c r="Q4" s="43" t="s">
        <v>67</v>
      </c>
      <c r="R4" s="44">
        <f>-(LN(AT4+(L4+1)*AU4)-LN(AT4+L4*AU4))</f>
        <v>3.4102216502140958E-4</v>
      </c>
      <c r="S4" s="44"/>
      <c r="T4" s="43">
        <v>1816.4</v>
      </c>
      <c r="U4" s="43" t="s">
        <v>67</v>
      </c>
      <c r="V4" s="43">
        <v>66.900000000000006</v>
      </c>
      <c r="W4" s="43" t="s">
        <v>67</v>
      </c>
      <c r="X4" s="43"/>
      <c r="Y4" s="43"/>
      <c r="Z4" s="44">
        <v>1.3799999999999999E-10</v>
      </c>
      <c r="AA4" s="45" t="s">
        <v>66</v>
      </c>
      <c r="AB4" s="44">
        <v>1.3300000000000001E-10</v>
      </c>
      <c r="AC4" s="45" t="s">
        <v>66</v>
      </c>
      <c r="AD4" s="44">
        <v>39.097999999999999</v>
      </c>
      <c r="AE4" s="45"/>
      <c r="AF4" s="44">
        <v>18.998000000000001</v>
      </c>
      <c r="AG4" s="45"/>
      <c r="AH4" s="8">
        <f t="shared" si="0"/>
        <v>12.785455177637015</v>
      </c>
      <c r="AI4" s="44"/>
      <c r="AJ4" s="44">
        <v>0.46521185798794484</v>
      </c>
      <c r="AK4" s="44"/>
      <c r="AL4" s="44">
        <f t="shared" ref="AL4" si="1">SQRT(AJ4/AH4)</f>
        <v>0.19075120539832111</v>
      </c>
      <c r="AM4" s="44"/>
      <c r="AN4" s="44">
        <v>1910000</v>
      </c>
      <c r="AO4" s="44"/>
      <c r="AP4" s="44"/>
      <c r="AQ4" s="46">
        <v>2789</v>
      </c>
      <c r="AR4" s="47">
        <v>-0.84499999999999997</v>
      </c>
      <c r="AS4" s="47" t="s">
        <v>71</v>
      </c>
      <c r="AT4" s="47">
        <v>2.6463999999999999</v>
      </c>
      <c r="AU4" s="47">
        <v>-6.5149999999999995E-4</v>
      </c>
      <c r="AV4" s="47" t="s">
        <v>39</v>
      </c>
      <c r="AW4" s="44">
        <v>1.3799999999999999E-10</v>
      </c>
      <c r="AX4" s="44">
        <v>1.3300000000000001E-10</v>
      </c>
      <c r="AY4" s="44">
        <v>1.3300000000000001E-10</v>
      </c>
      <c r="AZ4" s="44">
        <v>1.36E-10</v>
      </c>
    </row>
    <row r="5" spans="1:52" ht="20.25" customHeight="1" x14ac:dyDescent="0.25">
      <c r="A5" s="1" t="s">
        <v>26</v>
      </c>
      <c r="B5" s="55">
        <v>0</v>
      </c>
      <c r="C5" s="1"/>
      <c r="D5" s="55">
        <v>0</v>
      </c>
      <c r="E5" s="1"/>
      <c r="F5" s="55">
        <v>16.670000000000002</v>
      </c>
      <c r="G5" s="1"/>
      <c r="H5" s="55">
        <v>85.47</v>
      </c>
      <c r="I5" s="1"/>
      <c r="J5" s="15">
        <v>104.4662</v>
      </c>
      <c r="K5" s="24" t="s">
        <v>69</v>
      </c>
      <c r="L5">
        <v>1048.1500000000001</v>
      </c>
      <c r="M5" s="24" t="s">
        <v>67</v>
      </c>
      <c r="N5" s="59">
        <v>3.57E-5</v>
      </c>
      <c r="O5" s="24" t="s">
        <v>67</v>
      </c>
      <c r="P5" s="8">
        <v>3.4900000000000003E-4</v>
      </c>
      <c r="Q5" s="24" t="s">
        <v>67</v>
      </c>
      <c r="R5" s="8"/>
      <c r="S5" s="29"/>
      <c r="T5" s="7">
        <v>1760.4</v>
      </c>
      <c r="U5" s="24" t="s">
        <v>67</v>
      </c>
      <c r="V5" s="7">
        <v>69.5</v>
      </c>
      <c r="W5" s="24" t="s">
        <v>67</v>
      </c>
      <c r="X5" s="7"/>
      <c r="Y5" s="24"/>
      <c r="Z5" s="8">
        <v>1.5199999999999999E-10</v>
      </c>
      <c r="AA5" s="34" t="s">
        <v>66</v>
      </c>
      <c r="AB5" s="8">
        <v>1.3300000000000001E-10</v>
      </c>
      <c r="AC5" s="34" t="s">
        <v>66</v>
      </c>
      <c r="AD5" s="8">
        <v>85.468000000000004</v>
      </c>
      <c r="AE5" s="34"/>
      <c r="AF5" s="8">
        <v>18.998000000000001</v>
      </c>
      <c r="AG5" s="34"/>
      <c r="AH5" s="8">
        <f t="shared" si="0"/>
        <v>15.543057683839718</v>
      </c>
      <c r="AI5" s="29"/>
      <c r="AJ5" s="8"/>
      <c r="AK5" s="29"/>
      <c r="AL5" s="8"/>
      <c r="AM5" s="29"/>
      <c r="AN5" s="8">
        <f>J5/N5</f>
        <v>2926224.0896358541</v>
      </c>
      <c r="AO5" s="29"/>
      <c r="AP5" s="8"/>
      <c r="AQ5" s="17">
        <f t="shared" ref="AQ5" si="2">T5</f>
        <v>1760.4</v>
      </c>
      <c r="AR5" s="47">
        <v>0</v>
      </c>
      <c r="AT5" s="21">
        <f>AN5/1000000</f>
        <v>2.9262240896358542</v>
      </c>
      <c r="AU5">
        <v>0</v>
      </c>
      <c r="AW5" s="20">
        <v>5.36</v>
      </c>
    </row>
    <row r="6" spans="1:52" s="40" customFormat="1" ht="20.25" customHeight="1" x14ac:dyDescent="0.25">
      <c r="A6" s="36" t="s">
        <v>68</v>
      </c>
      <c r="B6" s="55">
        <v>0</v>
      </c>
      <c r="C6" s="1"/>
      <c r="D6" s="55">
        <v>0</v>
      </c>
      <c r="E6" s="36"/>
      <c r="F6" s="56">
        <v>17.350000000000001</v>
      </c>
      <c r="G6" s="36"/>
      <c r="H6" s="56">
        <v>132.91</v>
      </c>
      <c r="I6" s="36"/>
      <c r="J6" s="37">
        <v>58.44</v>
      </c>
      <c r="K6" s="37" t="s">
        <v>69</v>
      </c>
      <c r="L6" s="37">
        <v>955.15</v>
      </c>
      <c r="M6" s="37" t="s">
        <v>67</v>
      </c>
      <c r="N6" s="60">
        <v>4.57E-5</v>
      </c>
      <c r="O6" s="37" t="s">
        <v>67</v>
      </c>
      <c r="P6" s="38">
        <v>3.8499999999999998E-4</v>
      </c>
      <c r="Q6" s="37" t="s">
        <v>67</v>
      </c>
      <c r="R6" s="38">
        <f>-(LN(AT6+(L6+1)*AU6)-LN(AT6+L6*AU6))</f>
        <v>3.3510615911930275E-4</v>
      </c>
      <c r="S6" s="38"/>
      <c r="T6" s="37">
        <v>1460.8</v>
      </c>
      <c r="U6" s="37" t="s">
        <v>70</v>
      </c>
      <c r="V6" s="37">
        <v>74.099999999999994</v>
      </c>
      <c r="W6" s="37" t="s">
        <v>67</v>
      </c>
      <c r="X6" s="37"/>
      <c r="Y6" s="37"/>
      <c r="Z6" s="38">
        <v>1.6699999999999999E-10</v>
      </c>
      <c r="AA6" s="39" t="s">
        <v>66</v>
      </c>
      <c r="AB6" s="38">
        <v>1.3300000000000001E-10</v>
      </c>
      <c r="AC6" s="39" t="s">
        <v>66</v>
      </c>
      <c r="AD6" s="38">
        <v>132.905</v>
      </c>
      <c r="AE6" s="39"/>
      <c r="AF6" s="38">
        <v>18.998000000000001</v>
      </c>
      <c r="AG6" s="39"/>
      <c r="AH6" s="8">
        <f t="shared" si="0"/>
        <v>16.621983700124424</v>
      </c>
      <c r="AI6" s="38"/>
      <c r="AJ6" s="38"/>
      <c r="AK6" s="38"/>
      <c r="AL6" s="38"/>
      <c r="AM6" s="38"/>
      <c r="AN6" s="38">
        <v>1560000</v>
      </c>
      <c r="AO6" s="38"/>
      <c r="AP6" s="40">
        <v>2483</v>
      </c>
      <c r="AQ6" s="40">
        <f>AP6+273.15</f>
        <v>2756.15</v>
      </c>
      <c r="AR6" s="40">
        <v>-0.91500000000000004</v>
      </c>
      <c r="AS6" s="40" t="s">
        <v>29</v>
      </c>
      <c r="AT6" s="40">
        <v>2.1393</v>
      </c>
      <c r="AU6" s="40">
        <v>-5.4299999999999997E-4</v>
      </c>
      <c r="AV6" s="40" t="s">
        <v>40</v>
      </c>
    </row>
    <row r="7" spans="1:52" ht="20.25" customHeight="1" x14ac:dyDescent="0.25">
      <c r="A7" s="1" t="s">
        <v>14</v>
      </c>
      <c r="B7" s="55">
        <v>0</v>
      </c>
      <c r="C7" s="1"/>
      <c r="D7" s="55">
        <v>0</v>
      </c>
      <c r="E7" s="1"/>
      <c r="F7" s="55">
        <v>6.22</v>
      </c>
      <c r="G7" s="1"/>
      <c r="H7" s="55">
        <v>9.01</v>
      </c>
      <c r="I7" s="1"/>
      <c r="J7" s="7">
        <v>47.01</v>
      </c>
      <c r="K7" s="24" t="s">
        <v>69</v>
      </c>
      <c r="L7" s="7">
        <v>1070.1500000000001</v>
      </c>
      <c r="M7" s="24" t="s">
        <v>67</v>
      </c>
      <c r="N7" s="59">
        <v>2.4000000000000001E-5</v>
      </c>
      <c r="O7" s="24" t="s">
        <v>67</v>
      </c>
      <c r="P7" s="8">
        <v>7.4200000000000001E-6</v>
      </c>
      <c r="Q7" s="24" t="s">
        <v>67</v>
      </c>
      <c r="R7" s="8">
        <f t="shared" ref="R7" si="3">-(LN(AT7+(L7+1)*AU7)-LN(AT7+L7*AU7))</f>
        <v>7.411285980474247E-6</v>
      </c>
      <c r="S7" s="29"/>
      <c r="T7" s="7">
        <v>2547.8000000000002</v>
      </c>
      <c r="U7" s="24" t="s">
        <v>67</v>
      </c>
      <c r="V7" s="7">
        <v>87.9</v>
      </c>
      <c r="W7" s="24" t="s">
        <v>67</v>
      </c>
      <c r="X7" s="7"/>
      <c r="Y7" s="24"/>
      <c r="Z7" s="8">
        <v>3.3999999999999999E-11</v>
      </c>
      <c r="AA7" s="34" t="s">
        <v>66</v>
      </c>
      <c r="AB7" s="8">
        <v>1.3300000000000001E-10</v>
      </c>
      <c r="AC7" s="34" t="s">
        <v>66</v>
      </c>
      <c r="AD7" s="8">
        <v>9.0120000000000005</v>
      </c>
      <c r="AE7" s="34"/>
      <c r="AF7" s="8">
        <v>18.998000000000001</v>
      </c>
      <c r="AG7" s="34"/>
      <c r="AH7" s="8">
        <f t="shared" si="0"/>
        <v>6.1124589789360941</v>
      </c>
      <c r="AI7" s="29"/>
      <c r="AJ7" s="8"/>
      <c r="AK7" s="29"/>
      <c r="AL7" s="8"/>
      <c r="AM7" s="29"/>
      <c r="AN7" s="8">
        <v>1960000</v>
      </c>
      <c r="AO7" s="29"/>
      <c r="AP7" s="8"/>
      <c r="AQ7" s="17">
        <f>T7</f>
        <v>2547.8000000000002</v>
      </c>
      <c r="AR7">
        <v>0</v>
      </c>
      <c r="AT7">
        <v>1.972</v>
      </c>
      <c r="AU7" s="18">
        <v>-1.45E-5</v>
      </c>
      <c r="AV7" s="22" t="s">
        <v>44</v>
      </c>
    </row>
    <row r="8" spans="1:52" ht="20.25" customHeight="1" x14ac:dyDescent="0.25">
      <c r="A8" s="1" t="s">
        <v>24</v>
      </c>
      <c r="B8" s="55">
        <v>0</v>
      </c>
      <c r="C8" s="1"/>
      <c r="D8" s="55">
        <v>0</v>
      </c>
      <c r="E8" s="1"/>
      <c r="F8" s="55">
        <v>10.39</v>
      </c>
      <c r="G8" s="1"/>
      <c r="H8" s="55">
        <v>24.31</v>
      </c>
      <c r="I8" s="1"/>
      <c r="J8">
        <v>62.3018</v>
      </c>
      <c r="K8" s="24" t="s">
        <v>69</v>
      </c>
      <c r="L8">
        <v>1534.2</v>
      </c>
      <c r="M8" s="24" t="s">
        <v>67</v>
      </c>
      <c r="N8" s="59">
        <f>J8/AN8</f>
        <v>2.5574620069823672E-5</v>
      </c>
      <c r="O8" s="24" t="s">
        <v>67</v>
      </c>
      <c r="P8" s="8">
        <v>2.1599999999999999E-4</v>
      </c>
      <c r="Q8" s="24" t="s">
        <v>67</v>
      </c>
      <c r="R8" s="8">
        <f>-(LN(AT8+(L8+1)*AU8)-LN(AT8+L8*AU8))</f>
        <v>2.1512287622438286E-4</v>
      </c>
      <c r="S8" s="29"/>
      <c r="T8" s="7">
        <v>2175.6</v>
      </c>
      <c r="U8" s="24" t="s">
        <v>67</v>
      </c>
      <c r="V8" s="7">
        <v>94.9</v>
      </c>
      <c r="W8" s="24" t="s">
        <v>67</v>
      </c>
      <c r="X8" s="7"/>
      <c r="Y8" s="24"/>
      <c r="Z8" s="8">
        <v>7.1999999999999997E-11</v>
      </c>
      <c r="AA8" s="34" t="s">
        <v>66</v>
      </c>
      <c r="AB8" s="8">
        <v>1.3300000000000001E-10</v>
      </c>
      <c r="AC8" s="34" t="s">
        <v>66</v>
      </c>
      <c r="AD8" s="8">
        <v>24.305</v>
      </c>
      <c r="AE8" s="34"/>
      <c r="AF8" s="8">
        <v>18.998000000000001</v>
      </c>
      <c r="AG8" s="34"/>
      <c r="AH8" s="8">
        <f t="shared" si="0"/>
        <v>10.663150128166642</v>
      </c>
      <c r="AI8" s="29"/>
      <c r="AJ8" s="8"/>
      <c r="AK8" s="29"/>
      <c r="AL8" s="8"/>
      <c r="AM8" s="29"/>
      <c r="AN8" s="8">
        <f>(AT8+L8*AU8)*1000000</f>
        <v>2436079.2000000002</v>
      </c>
      <c r="AO8" s="29"/>
      <c r="AP8" s="8"/>
      <c r="AQ8" s="17">
        <f>T8</f>
        <v>2175.6</v>
      </c>
      <c r="AR8">
        <v>0</v>
      </c>
      <c r="AT8" s="18">
        <v>3.24</v>
      </c>
      <c r="AU8" s="18">
        <v>-5.2400000000000005E-4</v>
      </c>
    </row>
    <row r="9" spans="1:52" ht="20.25" customHeight="1" x14ac:dyDescent="0.25">
      <c r="A9" s="1" t="s">
        <v>23</v>
      </c>
      <c r="B9" s="55">
        <v>0</v>
      </c>
      <c r="C9" s="1"/>
      <c r="D9" s="55">
        <v>0</v>
      </c>
      <c r="E9" s="1"/>
      <c r="F9" s="55">
        <v>13.23</v>
      </c>
      <c r="G9" s="1"/>
      <c r="H9" s="55">
        <v>40.08</v>
      </c>
      <c r="I9" s="1"/>
      <c r="J9">
        <v>78.074799999999996</v>
      </c>
      <c r="K9" s="24" t="s">
        <v>69</v>
      </c>
      <c r="L9">
        <v>1692</v>
      </c>
      <c r="M9" s="24" t="s">
        <v>67</v>
      </c>
      <c r="N9" s="59">
        <f t="shared" ref="N9" si="4">J9/AN9</f>
        <v>3.1001402462170846E-5</v>
      </c>
      <c r="O9" s="24" t="s">
        <v>67</v>
      </c>
      <c r="P9" s="8">
        <v>1.55E-4</v>
      </c>
      <c r="Q9" s="24" t="s">
        <v>67</v>
      </c>
      <c r="R9" s="8">
        <f t="shared" ref="R9" si="5">-(LN(AT9+(L9+1)*AU9)-LN(AT9+L9*AU9))</f>
        <v>1.5526763346340733E-4</v>
      </c>
      <c r="S9" s="29"/>
      <c r="T9" s="7">
        <v>1710.3</v>
      </c>
      <c r="U9" s="24" t="s">
        <v>67</v>
      </c>
      <c r="V9">
        <v>99.914000000000001</v>
      </c>
      <c r="W9" s="24" t="s">
        <v>67</v>
      </c>
      <c r="X9"/>
      <c r="Y9" s="22"/>
      <c r="Z9" s="8">
        <v>1E-10</v>
      </c>
      <c r="AA9" s="34" t="s">
        <v>66</v>
      </c>
      <c r="AB9" s="8">
        <v>1.3300000000000001E-10</v>
      </c>
      <c r="AC9" s="34" t="s">
        <v>66</v>
      </c>
      <c r="AD9" s="8">
        <v>40.078000000000003</v>
      </c>
      <c r="AE9" s="34"/>
      <c r="AF9" s="8">
        <v>18.998000000000001</v>
      </c>
      <c r="AG9" s="34"/>
      <c r="AH9" s="8">
        <f t="shared" si="0"/>
        <v>12.88851384657052</v>
      </c>
      <c r="AI9" s="29"/>
      <c r="AJ9" s="8"/>
      <c r="AK9" s="29"/>
      <c r="AL9" s="8"/>
      <c r="AM9" s="29"/>
      <c r="AN9" s="8">
        <f t="shared" ref="AN9" si="6">(AT9+L9*AU9)*1000000</f>
        <v>2518428</v>
      </c>
      <c r="AO9" s="29"/>
      <c r="AP9" s="8"/>
      <c r="AQ9" s="17">
        <f t="shared" ref="AQ9" si="7">T9</f>
        <v>1710.3</v>
      </c>
      <c r="AR9">
        <v>0</v>
      </c>
      <c r="AT9" s="18">
        <v>3.18</v>
      </c>
      <c r="AU9" s="18">
        <v>-3.9100000000000002E-4</v>
      </c>
    </row>
    <row r="10" spans="1:52" ht="20.25" customHeight="1" x14ac:dyDescent="0.25">
      <c r="A10" s="1" t="s">
        <v>25</v>
      </c>
      <c r="B10" s="55">
        <v>0</v>
      </c>
      <c r="C10" s="1"/>
      <c r="D10" s="55">
        <v>0</v>
      </c>
      <c r="E10" s="1"/>
      <c r="F10" s="55">
        <v>15.31</v>
      </c>
      <c r="G10" s="1"/>
      <c r="H10" s="55">
        <v>87.62</v>
      </c>
      <c r="I10" s="1"/>
      <c r="J10">
        <v>125.6168</v>
      </c>
      <c r="K10" s="24" t="s">
        <v>69</v>
      </c>
      <c r="L10">
        <v>1746</v>
      </c>
      <c r="M10" s="24" t="s">
        <v>67</v>
      </c>
      <c r="N10" s="59">
        <f>J10/AN10</f>
        <v>3.6213810492182497E-5</v>
      </c>
      <c r="O10" s="24" t="s">
        <v>67</v>
      </c>
      <c r="P10" s="8">
        <v>2.13E-4</v>
      </c>
      <c r="Q10" s="24" t="s">
        <v>67</v>
      </c>
      <c r="R10" s="8">
        <f>-(LN(AT10+(L10+1)*AU10)-LN(AT10+L10*AU10))</f>
        <v>2.1652769527147342E-4</v>
      </c>
      <c r="S10" s="29"/>
      <c r="T10" s="7">
        <v>1398.6</v>
      </c>
      <c r="U10" s="24" t="s">
        <v>67</v>
      </c>
      <c r="V10" s="7">
        <v>99</v>
      </c>
      <c r="W10" s="24" t="s">
        <v>67</v>
      </c>
      <c r="X10" s="7"/>
      <c r="Y10" s="24"/>
      <c r="Z10" s="8">
        <v>1.1800000000000001E-10</v>
      </c>
      <c r="AA10" s="34" t="s">
        <v>66</v>
      </c>
      <c r="AB10" s="8">
        <v>1.3300000000000001E-10</v>
      </c>
      <c r="AC10" s="34" t="s">
        <v>66</v>
      </c>
      <c r="AD10" s="8">
        <v>87.62</v>
      </c>
      <c r="AE10" s="34"/>
      <c r="AF10" s="8">
        <v>18.998000000000001</v>
      </c>
      <c r="AG10" s="34"/>
      <c r="AH10" s="8">
        <f t="shared" si="0"/>
        <v>15.612792961788816</v>
      </c>
      <c r="AI10" s="29"/>
      <c r="AJ10" s="8"/>
      <c r="AK10" s="29"/>
      <c r="AL10" s="8"/>
      <c r="AM10" s="29"/>
      <c r="AN10" s="8">
        <f>(AT10+L10*AU10)*1000000</f>
        <v>3468754</v>
      </c>
      <c r="AO10" s="29"/>
      <c r="AP10" s="8"/>
      <c r="AQ10" s="17">
        <f>T10</f>
        <v>1398.6</v>
      </c>
      <c r="AR10">
        <v>0</v>
      </c>
      <c r="AT10" s="18">
        <v>4.78</v>
      </c>
      <c r="AU10" s="18">
        <v>-7.5100000000000004E-4</v>
      </c>
    </row>
    <row r="11" spans="1:52" ht="20.25" customHeight="1" x14ac:dyDescent="0.25">
      <c r="A11" s="1" t="s">
        <v>18</v>
      </c>
      <c r="B11" s="55">
        <v>0</v>
      </c>
      <c r="C11" s="1"/>
      <c r="D11" s="55">
        <v>0</v>
      </c>
      <c r="E11" s="1"/>
      <c r="F11" s="55">
        <v>16.43</v>
      </c>
      <c r="G11" s="1"/>
      <c r="H11" s="55">
        <v>91.22</v>
      </c>
      <c r="I11" s="1"/>
      <c r="J11" s="7">
        <v>167.21</v>
      </c>
      <c r="K11" s="24" t="s">
        <v>69</v>
      </c>
      <c r="L11" s="9">
        <v>1191</v>
      </c>
      <c r="M11" s="24" t="s">
        <v>67</v>
      </c>
      <c r="N11" s="59">
        <f>J11/AN11</f>
        <v>4.292862515949649E-5</v>
      </c>
      <c r="O11" s="24" t="s">
        <v>67</v>
      </c>
      <c r="P11" s="8">
        <v>3.0899999999999998E-4</v>
      </c>
      <c r="Q11" s="24" t="s">
        <v>67</v>
      </c>
      <c r="R11" s="8">
        <f>-(LN(AT11+(L11+1)*AU11)-LN(AT11+L11*AU11))</f>
        <v>3.1583366869680773E-4</v>
      </c>
      <c r="S11" s="29"/>
      <c r="T11" s="12">
        <v>1700</v>
      </c>
      <c r="U11" s="24" t="s">
        <v>67</v>
      </c>
      <c r="V11" s="8">
        <v>123</v>
      </c>
      <c r="W11" s="24" t="s">
        <v>67</v>
      </c>
      <c r="X11" s="8"/>
      <c r="Y11" s="29"/>
      <c r="Z11" s="8">
        <v>7.1999999999999997E-11</v>
      </c>
      <c r="AA11" s="34" t="s">
        <v>66</v>
      </c>
      <c r="AB11" s="8">
        <v>1.3300000000000001E-10</v>
      </c>
      <c r="AC11" s="34" t="s">
        <v>66</v>
      </c>
      <c r="AD11" s="8">
        <v>91.224000000000004</v>
      </c>
      <c r="AE11" s="34"/>
      <c r="AF11" s="8">
        <v>18.998000000000001</v>
      </c>
      <c r="AG11" s="34"/>
      <c r="AH11" s="8">
        <f t="shared" si="0"/>
        <v>15.723481265083196</v>
      </c>
      <c r="AI11" s="24"/>
      <c r="AJ11" s="7"/>
      <c r="AK11" s="24"/>
      <c r="AL11" s="7"/>
      <c r="AM11" s="24"/>
      <c r="AN11" s="7">
        <f>(5.36-0.00123*L11)*1000000</f>
        <v>3895070.0000000005</v>
      </c>
      <c r="AO11" s="24"/>
      <c r="AP11" s="7"/>
      <c r="AQ11" s="17">
        <f>T11</f>
        <v>1700</v>
      </c>
      <c r="AR11">
        <v>0</v>
      </c>
      <c r="AT11">
        <v>5.36</v>
      </c>
      <c r="AU11">
        <v>-1.23E-3</v>
      </c>
      <c r="AV11" s="22" t="s">
        <v>46</v>
      </c>
    </row>
    <row r="12" spans="1:52" ht="20.25" customHeight="1" x14ac:dyDescent="0.25">
      <c r="A12" s="1" t="s">
        <v>17</v>
      </c>
      <c r="B12" s="55">
        <v>0.65076191800000005</v>
      </c>
      <c r="C12" s="1"/>
      <c r="D12" s="55">
        <v>0</v>
      </c>
      <c r="E12" s="1"/>
      <c r="F12" s="55">
        <v>18.29</v>
      </c>
      <c r="G12" s="1"/>
      <c r="H12" s="55">
        <v>232.04</v>
      </c>
      <c r="I12" s="1"/>
      <c r="J12" s="7">
        <v>308.0317</v>
      </c>
      <c r="K12" s="24" t="s">
        <v>69</v>
      </c>
      <c r="L12" s="9">
        <v>1384</v>
      </c>
      <c r="M12" s="24" t="s">
        <v>67</v>
      </c>
      <c r="N12" s="59">
        <f>J12/AN12</f>
        <v>5.0331977124183008E-5</v>
      </c>
      <c r="O12" s="24" t="s">
        <v>67</v>
      </c>
      <c r="P12" s="8">
        <v>1.21E-4</v>
      </c>
      <c r="Q12" s="24" t="s">
        <v>67</v>
      </c>
      <c r="R12" s="8">
        <f>-(LN(AT12+(L12+1)*AU12)-LN(AT12+L12*AU12))</f>
        <v>1.298758915524445E-4</v>
      </c>
      <c r="S12" s="29"/>
      <c r="T12" s="9">
        <v>1362</v>
      </c>
      <c r="U12" s="24" t="s">
        <v>67</v>
      </c>
      <c r="V12" s="9">
        <v>168</v>
      </c>
      <c r="W12" s="24" t="s">
        <v>67</v>
      </c>
      <c r="X12" s="9"/>
      <c r="Y12" s="27"/>
      <c r="Z12" s="8">
        <v>9.3999999999999999E-11</v>
      </c>
      <c r="AA12" s="34" t="s">
        <v>66</v>
      </c>
      <c r="AB12" s="8">
        <v>1.3300000000000001E-10</v>
      </c>
      <c r="AC12" s="34" t="s">
        <v>66</v>
      </c>
      <c r="AD12" s="8">
        <v>232.03800000000001</v>
      </c>
      <c r="AE12" s="34"/>
      <c r="AF12" s="8">
        <v>18.998000000000001</v>
      </c>
      <c r="AG12" s="34"/>
      <c r="AH12" s="8">
        <f t="shared" ref="AH12" si="8">(AD12*AF12)/(AD12+AF12)</f>
        <v>17.560261970394688</v>
      </c>
      <c r="AI12" s="29"/>
      <c r="AJ12" s="8"/>
      <c r="AK12" s="29"/>
      <c r="AL12" s="8"/>
      <c r="AM12" s="29"/>
      <c r="AN12" s="8">
        <v>6120000</v>
      </c>
      <c r="AO12" s="29"/>
      <c r="AP12" s="8"/>
      <c r="AQ12" s="17">
        <f>T12</f>
        <v>1362</v>
      </c>
      <c r="AR12">
        <v>0</v>
      </c>
      <c r="AT12">
        <v>7.34</v>
      </c>
      <c r="AU12">
        <v>-8.0800000000000002E-4</v>
      </c>
      <c r="AV12" s="22" t="s">
        <v>45</v>
      </c>
    </row>
    <row r="13" spans="1:52" ht="20.25" customHeight="1" x14ac:dyDescent="0.25">
      <c r="A13" s="1" t="s">
        <v>16</v>
      </c>
      <c r="B13" s="55">
        <v>0.540429889</v>
      </c>
      <c r="C13" s="1"/>
      <c r="D13" s="55">
        <v>0</v>
      </c>
      <c r="E13" s="1"/>
      <c r="F13" s="55">
        <v>18.5</v>
      </c>
      <c r="G13" s="1"/>
      <c r="H13" s="55">
        <v>238.03</v>
      </c>
      <c r="I13" s="1"/>
      <c r="J13" s="7">
        <v>314.02249999999998</v>
      </c>
      <c r="K13" s="24" t="s">
        <v>69</v>
      </c>
      <c r="L13" s="9">
        <v>1309</v>
      </c>
      <c r="M13" s="24" t="s">
        <v>67</v>
      </c>
      <c r="N13" s="59">
        <f>J13/AN13</f>
        <v>4.8535162287480677E-5</v>
      </c>
      <c r="O13" s="24" t="s">
        <v>67</v>
      </c>
      <c r="P13" s="8">
        <v>1.4899999999999999E-4</v>
      </c>
      <c r="Q13" s="24" t="s">
        <v>67</v>
      </c>
      <c r="R13" s="8">
        <f>-(LN(AT13+(L13+1)*AU13)-LN(AT13+L13*AU13))</f>
        <v>1.2042899838249355E-4</v>
      </c>
      <c r="S13" s="29"/>
      <c r="T13" s="9">
        <v>1062</v>
      </c>
      <c r="U13" s="24" t="s">
        <v>67</v>
      </c>
      <c r="V13" s="9">
        <v>174</v>
      </c>
      <c r="W13" s="24" t="s">
        <v>67</v>
      </c>
      <c r="X13" s="9"/>
      <c r="Y13" s="27"/>
      <c r="Z13" s="8">
        <v>8.9000000000000003E-11</v>
      </c>
      <c r="AA13" s="34" t="s">
        <v>66</v>
      </c>
      <c r="AB13" s="8">
        <v>1.3300000000000001E-10</v>
      </c>
      <c r="AC13" s="34" t="s">
        <v>66</v>
      </c>
      <c r="AD13" s="8">
        <v>238.029</v>
      </c>
      <c r="AE13" s="34"/>
      <c r="AF13" s="8">
        <v>18.998000000000001</v>
      </c>
      <c r="AG13" s="34"/>
      <c r="AH13" s="8">
        <f t="shared" si="0"/>
        <v>17.593773969271712</v>
      </c>
      <c r="AI13" s="29"/>
      <c r="AJ13" s="8"/>
      <c r="AK13" s="29"/>
      <c r="AL13" s="8"/>
      <c r="AM13" s="29"/>
      <c r="AN13" s="8">
        <v>6470000</v>
      </c>
      <c r="AO13" s="29"/>
      <c r="AP13" s="8"/>
      <c r="AQ13" s="17">
        <f>T13</f>
        <v>1062</v>
      </c>
      <c r="AR13">
        <v>0</v>
      </c>
      <c r="AT13">
        <v>7.6040000000000001</v>
      </c>
      <c r="AU13">
        <v>-7.9100000000000004E-4</v>
      </c>
      <c r="AV13" s="22" t="s">
        <v>42</v>
      </c>
    </row>
    <row r="14" spans="1:52" s="47" customFormat="1" ht="20.25" customHeight="1" x14ac:dyDescent="0.25">
      <c r="A14" s="42" t="s">
        <v>19</v>
      </c>
      <c r="B14" s="54">
        <v>0.68012156700000004</v>
      </c>
      <c r="C14" s="42"/>
      <c r="D14" s="54">
        <v>0.65551426099999999</v>
      </c>
      <c r="E14" s="42" t="s">
        <v>97</v>
      </c>
      <c r="F14" s="54">
        <v>5.44</v>
      </c>
      <c r="G14" s="42"/>
      <c r="H14" s="54">
        <v>6.94</v>
      </c>
      <c r="I14" s="42"/>
      <c r="J14" s="43">
        <v>42.393999999999998</v>
      </c>
      <c r="K14" s="43" t="s">
        <v>69</v>
      </c>
      <c r="L14" s="43">
        <v>878.1</v>
      </c>
      <c r="M14" s="43" t="s">
        <v>67</v>
      </c>
      <c r="N14" s="58">
        <f t="shared" ref="N14" si="9">J14/AN14</f>
        <v>2.828152101400934E-5</v>
      </c>
      <c r="O14" s="43" t="s">
        <v>67</v>
      </c>
      <c r="P14" s="44">
        <v>2.8800000000000001E-4</v>
      </c>
      <c r="Q14" s="43" t="s">
        <v>67</v>
      </c>
      <c r="R14" s="44">
        <f t="shared" ref="R14" si="10">-(LN(AT14+(L14+1)*AU14)-LN(AT14+L14*AU14))</f>
        <v>2.8777707252614082E-4</v>
      </c>
      <c r="S14" s="44"/>
      <c r="T14" s="43">
        <v>2038.11</v>
      </c>
      <c r="U14" s="43" t="s">
        <v>67</v>
      </c>
      <c r="V14" s="43">
        <v>65.02</v>
      </c>
      <c r="W14" s="43" t="s">
        <v>67</v>
      </c>
      <c r="X14" s="43"/>
      <c r="Y14" s="43"/>
      <c r="Z14" s="44">
        <v>7.5999999999999996E-11</v>
      </c>
      <c r="AA14" s="45" t="s">
        <v>66</v>
      </c>
      <c r="AB14" s="44">
        <v>1.81E-10</v>
      </c>
      <c r="AC14" s="45" t="s">
        <v>66</v>
      </c>
      <c r="AD14" s="44">
        <v>6.9409999999999998</v>
      </c>
      <c r="AE14" s="45"/>
      <c r="AF14" s="44">
        <v>35.453000000000003</v>
      </c>
      <c r="AG14" s="45"/>
      <c r="AH14" s="8">
        <f t="shared" si="0"/>
        <v>5.804577841203943</v>
      </c>
      <c r="AI14" s="44"/>
      <c r="AJ14" s="44">
        <v>0.49212847214785882</v>
      </c>
      <c r="AK14" s="44"/>
      <c r="AL14" s="44">
        <f>SQRT(AJ14/AH14)</f>
        <v>0.29117489407982899</v>
      </c>
      <c r="AM14" s="44"/>
      <c r="AN14" s="44">
        <v>1499000</v>
      </c>
      <c r="AO14" s="44"/>
      <c r="AP14" s="47">
        <v>2556</v>
      </c>
      <c r="AQ14" s="47">
        <f>AP14+273.15</f>
        <v>2829.15</v>
      </c>
      <c r="AR14" s="47">
        <v>-0.84899999999999998</v>
      </c>
      <c r="AS14" s="47" t="s">
        <v>29</v>
      </c>
      <c r="AT14" s="47">
        <v>1.8842000000000001</v>
      </c>
      <c r="AU14" s="47">
        <v>-4.328E-4</v>
      </c>
      <c r="AV14" s="47" t="s">
        <v>41</v>
      </c>
    </row>
    <row r="15" spans="1:52" s="47" customFormat="1" ht="20.25" customHeight="1" x14ac:dyDescent="0.25">
      <c r="A15" s="42" t="s">
        <v>12</v>
      </c>
      <c r="B15" s="54">
        <v>0.49727824599999998</v>
      </c>
      <c r="C15" s="42"/>
      <c r="D15" s="54">
        <v>0.491042596</v>
      </c>
      <c r="E15" s="42" t="s">
        <v>98</v>
      </c>
      <c r="F15" s="54">
        <v>14.4</v>
      </c>
      <c r="G15" s="42"/>
      <c r="H15" s="54">
        <v>22.99</v>
      </c>
      <c r="I15" s="42"/>
      <c r="J15" s="43">
        <v>58.442999999999998</v>
      </c>
      <c r="K15" s="43" t="s">
        <v>69</v>
      </c>
      <c r="L15" s="43">
        <v>1081.1500000000001</v>
      </c>
      <c r="M15" s="43" t="s">
        <v>67</v>
      </c>
      <c r="N15" s="58">
        <v>3.765E-5</v>
      </c>
      <c r="O15" s="43" t="s">
        <v>67</v>
      </c>
      <c r="P15" s="44">
        <v>3.5E-4</v>
      </c>
      <c r="Q15" s="43" t="s">
        <v>67</v>
      </c>
      <c r="R15" s="44">
        <f>-(LN(AT15+(L15+1)*AU15)-LN(AT15+L15*AU15))</f>
        <v>3.4987924207346977E-4</v>
      </c>
      <c r="S15" s="44"/>
      <c r="T15" s="43">
        <v>1743.68</v>
      </c>
      <c r="U15" s="43" t="s">
        <v>67</v>
      </c>
      <c r="V15" s="43">
        <v>69.62</v>
      </c>
      <c r="W15" s="43" t="s">
        <v>67</v>
      </c>
      <c r="X15" s="43"/>
      <c r="Y15" s="43"/>
      <c r="Z15" s="44">
        <v>1.02E-10</v>
      </c>
      <c r="AA15" s="45" t="s">
        <v>66</v>
      </c>
      <c r="AB15" s="44">
        <v>1.81E-10</v>
      </c>
      <c r="AC15" s="45" t="s">
        <v>66</v>
      </c>
      <c r="AD15" s="44">
        <v>22.99</v>
      </c>
      <c r="AE15" s="45"/>
      <c r="AF15" s="44">
        <v>35.453000000000003</v>
      </c>
      <c r="AG15" s="45"/>
      <c r="AH15" s="8">
        <f t="shared" si="0"/>
        <v>13.946314699792962</v>
      </c>
      <c r="AI15" s="44"/>
      <c r="AJ15" s="44">
        <v>0.50020398474711869</v>
      </c>
      <c r="AK15" s="44"/>
      <c r="AL15" s="44">
        <f t="shared" ref="AL15:AL16" si="11">SQRT(AJ15/AH15)</f>
        <v>0.18938424333855639</v>
      </c>
      <c r="AM15" s="44"/>
      <c r="AN15" s="44">
        <v>1560000</v>
      </c>
      <c r="AO15" s="44"/>
      <c r="AP15" s="47">
        <v>2483</v>
      </c>
      <c r="AQ15" s="47">
        <f t="shared" ref="AQ15:AQ16" si="12">AP15+273.15</f>
        <v>2756.15</v>
      </c>
      <c r="AR15" s="47">
        <v>-0.91500000000000004</v>
      </c>
      <c r="AS15" s="47" t="s">
        <v>29</v>
      </c>
      <c r="AT15" s="47">
        <v>2.1393</v>
      </c>
      <c r="AU15" s="47">
        <v>-5.4299999999999997E-4</v>
      </c>
      <c r="AV15" s="47" t="s">
        <v>40</v>
      </c>
    </row>
    <row r="16" spans="1:52" s="47" customFormat="1" ht="20.25" customHeight="1" x14ac:dyDescent="0.25">
      <c r="A16" s="42" t="s">
        <v>13</v>
      </c>
      <c r="B16" s="54">
        <v>0.418003452</v>
      </c>
      <c r="C16" s="42"/>
      <c r="D16" s="54">
        <v>0.36749821500000002</v>
      </c>
      <c r="E16" s="42" t="s">
        <v>99</v>
      </c>
      <c r="F16" s="54">
        <v>19.71</v>
      </c>
      <c r="G16" s="42"/>
      <c r="H16" s="54">
        <v>39.1</v>
      </c>
      <c r="I16" s="42"/>
      <c r="J16" s="43">
        <v>74.551299999999998</v>
      </c>
      <c r="K16" s="43" t="s">
        <v>69</v>
      </c>
      <c r="L16" s="43">
        <v>1045.1500000000001</v>
      </c>
      <c r="M16" s="43" t="s">
        <v>67</v>
      </c>
      <c r="N16" s="58">
        <v>4.884E-5</v>
      </c>
      <c r="O16" s="43" t="s">
        <v>67</v>
      </c>
      <c r="P16" s="44">
        <v>3.8200000000000002E-4</v>
      </c>
      <c r="Q16" s="43" t="s">
        <v>67</v>
      </c>
      <c r="R16" s="44">
        <f>-(LN(AT16+(L16+1)*AU16)-LN(AT16+L16*AU16))</f>
        <v>3.8206465798734657E-4</v>
      </c>
      <c r="S16" s="44"/>
      <c r="T16" s="43">
        <v>1597.18</v>
      </c>
      <c r="U16" s="43" t="s">
        <v>67</v>
      </c>
      <c r="V16" s="43">
        <v>73.599999999999994</v>
      </c>
      <c r="W16" s="43" t="s">
        <v>67</v>
      </c>
      <c r="X16" s="43"/>
      <c r="Y16" s="43"/>
      <c r="Z16" s="44">
        <v>1.3799999999999999E-10</v>
      </c>
      <c r="AA16" s="45" t="s">
        <v>66</v>
      </c>
      <c r="AB16" s="44">
        <v>1.81E-10</v>
      </c>
      <c r="AC16" s="45" t="s">
        <v>66</v>
      </c>
      <c r="AD16" s="44">
        <v>39.097999999999999</v>
      </c>
      <c r="AE16" s="45"/>
      <c r="AF16" s="44">
        <v>35.453000000000003</v>
      </c>
      <c r="AG16" s="45"/>
      <c r="AH16" s="8">
        <f t="shared" si="0"/>
        <v>18.593196523185469</v>
      </c>
      <c r="AI16" s="44"/>
      <c r="AJ16" s="44">
        <v>0.50030435074175683</v>
      </c>
      <c r="AK16" s="44"/>
      <c r="AL16" s="44">
        <f t="shared" si="11"/>
        <v>0.16403635483990667</v>
      </c>
      <c r="AM16" s="44"/>
      <c r="AN16" s="44">
        <v>1530000</v>
      </c>
      <c r="AO16" s="44"/>
      <c r="AP16" s="47">
        <v>2275</v>
      </c>
      <c r="AQ16" s="47">
        <f t="shared" si="12"/>
        <v>2548.15</v>
      </c>
      <c r="AR16" s="47">
        <v>-0.878</v>
      </c>
      <c r="AS16" s="47" t="s">
        <v>29</v>
      </c>
      <c r="AT16" s="47">
        <v>2.1358999999999999</v>
      </c>
      <c r="AU16" s="47">
        <v>-5.8310000000000002E-4</v>
      </c>
      <c r="AV16" s="47" t="s">
        <v>41</v>
      </c>
    </row>
    <row r="17" spans="1:48" ht="20.25" customHeight="1" x14ac:dyDescent="0.25">
      <c r="A17" s="1" t="s">
        <v>20</v>
      </c>
      <c r="B17" s="55">
        <v>0.51755063400000001</v>
      </c>
      <c r="C17" s="1"/>
      <c r="D17" s="55">
        <v>0.54390685800000005</v>
      </c>
      <c r="E17" s="1" t="s">
        <v>100</v>
      </c>
      <c r="F17" s="55">
        <v>14.87</v>
      </c>
      <c r="G17" s="1"/>
      <c r="H17" s="55">
        <v>24.31</v>
      </c>
      <c r="I17" s="1"/>
      <c r="J17">
        <v>95.210999999999999</v>
      </c>
      <c r="K17" s="24" t="s">
        <v>69</v>
      </c>
      <c r="L17">
        <v>987</v>
      </c>
      <c r="M17" s="24" t="s">
        <v>67</v>
      </c>
      <c r="N17" s="59">
        <f t="shared" ref="N17:N19" si="13">J17/AN17</f>
        <v>5.651027632231827E-5</v>
      </c>
      <c r="O17" s="24" t="s">
        <v>67</v>
      </c>
      <c r="P17" s="8">
        <v>1.8000000000000001E-4</v>
      </c>
      <c r="Q17" s="24" t="s">
        <v>67</v>
      </c>
      <c r="R17" s="8">
        <f t="shared" ref="R17:R20" si="14">-(LN(AT17+(L17+1)*AU17)-LN(AT17+L17*AU17))</f>
        <v>1.7095031798020077E-4</v>
      </c>
      <c r="S17" s="29"/>
      <c r="T17" s="7">
        <v>2101</v>
      </c>
      <c r="U17" s="24" t="s">
        <v>67</v>
      </c>
      <c r="V17">
        <v>92.048000000000002</v>
      </c>
      <c r="W17" s="24" t="s">
        <v>67</v>
      </c>
      <c r="X17"/>
      <c r="Y17" s="22"/>
      <c r="Z17" s="8">
        <v>7.1999999999999997E-11</v>
      </c>
      <c r="AA17" s="34" t="s">
        <v>66</v>
      </c>
      <c r="AB17" s="8">
        <v>1.81E-10</v>
      </c>
      <c r="AC17" s="34" t="s">
        <v>66</v>
      </c>
      <c r="AD17" s="8">
        <v>24.305</v>
      </c>
      <c r="AE17" s="34"/>
      <c r="AF17" s="8">
        <v>35.453000000000003</v>
      </c>
      <c r="AG17" s="34"/>
      <c r="AH17" s="8">
        <f t="shared" si="0"/>
        <v>14.41957838281067</v>
      </c>
      <c r="AI17" s="29"/>
      <c r="AJ17" s="8">
        <v>0.95480608955132218</v>
      </c>
      <c r="AK17" s="29"/>
      <c r="AL17" s="44">
        <f>SQRT(AJ17/AH17)</f>
        <v>0.25732460157934306</v>
      </c>
      <c r="AM17" s="29"/>
      <c r="AN17" s="8">
        <f t="shared" ref="AN17:AN20" si="15">(AT17+L17*AU17)*1000000</f>
        <v>1684844</v>
      </c>
      <c r="AO17" s="29"/>
      <c r="AP17" s="8"/>
      <c r="AQ17" s="17">
        <f t="shared" ref="AQ17:AQ19" si="16">T17</f>
        <v>2101</v>
      </c>
      <c r="AR17">
        <v>0</v>
      </c>
      <c r="AT17" s="18">
        <v>1.9691000000000001</v>
      </c>
      <c r="AU17" s="18">
        <v>-2.8800000000000001E-4</v>
      </c>
      <c r="AV17" s="22" t="s">
        <v>47</v>
      </c>
    </row>
    <row r="18" spans="1:48" ht="20.25" customHeight="1" x14ac:dyDescent="0.25">
      <c r="A18" s="1" t="s">
        <v>21</v>
      </c>
      <c r="B18" s="55">
        <v>0.63127443100000002</v>
      </c>
      <c r="C18" s="1"/>
      <c r="D18" s="55">
        <v>1.4838367187463</v>
      </c>
      <c r="E18" s="1" t="s">
        <v>101</v>
      </c>
      <c r="F18" s="55">
        <v>18.059999999999999</v>
      </c>
      <c r="G18" s="1"/>
      <c r="H18" s="55">
        <v>40.08</v>
      </c>
      <c r="I18" s="1"/>
      <c r="J18">
        <v>110.98399999999999</v>
      </c>
      <c r="K18" s="24" t="s">
        <v>69</v>
      </c>
      <c r="L18">
        <v>1045</v>
      </c>
      <c r="M18" s="24" t="s">
        <v>67</v>
      </c>
      <c r="N18" s="59">
        <f t="shared" si="13"/>
        <v>5.3154147698835956E-5</v>
      </c>
      <c r="O18" s="24" t="s">
        <v>67</v>
      </c>
      <c r="P18" s="8">
        <v>2.03E-4</v>
      </c>
      <c r="Q18" s="24" t="s">
        <v>67</v>
      </c>
      <c r="R18" s="8">
        <f t="shared" si="14"/>
        <v>2.0261012684041901E-4</v>
      </c>
      <c r="S18" s="29"/>
      <c r="T18" s="7">
        <v>2065.0300000000002</v>
      </c>
      <c r="U18" s="24" t="s">
        <v>67</v>
      </c>
      <c r="V18">
        <v>102.533</v>
      </c>
      <c r="W18" s="24" t="s">
        <v>67</v>
      </c>
      <c r="X18"/>
      <c r="Y18" s="22"/>
      <c r="Z18" s="8">
        <v>1E-10</v>
      </c>
      <c r="AA18" s="34" t="s">
        <v>66</v>
      </c>
      <c r="AB18" s="8">
        <v>1.81E-10</v>
      </c>
      <c r="AC18" s="34" t="s">
        <v>66</v>
      </c>
      <c r="AD18" s="8">
        <v>40.078000000000003</v>
      </c>
      <c r="AE18" s="34"/>
      <c r="AF18" s="8">
        <v>35.453000000000003</v>
      </c>
      <c r="AG18" s="34"/>
      <c r="AH18" s="8">
        <f t="shared" si="0"/>
        <v>18.811949186426766</v>
      </c>
      <c r="AI18" s="29"/>
      <c r="AJ18" s="8">
        <v>0.96391182427290933</v>
      </c>
      <c r="AK18" s="29"/>
      <c r="AL18" s="44">
        <f t="shared" ref="AL18:AL19" si="17">SQRT(AJ18/AH18)</f>
        <v>0.22636107898263427</v>
      </c>
      <c r="AM18" s="29"/>
      <c r="AN18" s="8">
        <f t="shared" si="15"/>
        <v>2087964.9999999995</v>
      </c>
      <c r="AO18" s="29"/>
      <c r="AP18" s="8"/>
      <c r="AQ18" s="17">
        <f t="shared" si="16"/>
        <v>2065.0300000000002</v>
      </c>
      <c r="AR18">
        <v>0</v>
      </c>
      <c r="AT18" s="18">
        <v>2.5299999999999998</v>
      </c>
      <c r="AU18" s="18">
        <v>-4.2299999999999998E-4</v>
      </c>
    </row>
    <row r="19" spans="1:48" ht="20.25" customHeight="1" x14ac:dyDescent="0.25">
      <c r="A19" s="1" t="s">
        <v>22</v>
      </c>
      <c r="B19" s="55">
        <v>0.567551315</v>
      </c>
      <c r="C19" s="1"/>
      <c r="D19" s="55">
        <v>0</v>
      </c>
      <c r="E19" s="1"/>
      <c r="F19" s="55">
        <v>25.56</v>
      </c>
      <c r="G19" s="1"/>
      <c r="H19" s="55">
        <v>87.62</v>
      </c>
      <c r="I19" s="1"/>
      <c r="J19">
        <v>158.52600000000001</v>
      </c>
      <c r="K19" s="24" t="s">
        <v>69</v>
      </c>
      <c r="L19">
        <v>1146</v>
      </c>
      <c r="M19" s="24" t="s">
        <v>67</v>
      </c>
      <c r="N19" s="59">
        <f t="shared" si="13"/>
        <v>5.811897000013199E-5</v>
      </c>
      <c r="O19" s="24" t="s">
        <v>67</v>
      </c>
      <c r="P19" s="8">
        <v>2.12E-4</v>
      </c>
      <c r="Q19" s="24" t="s">
        <v>67</v>
      </c>
      <c r="R19" s="8">
        <f t="shared" si="14"/>
        <v>2.1192942756065314E-4</v>
      </c>
      <c r="S19" s="29"/>
      <c r="T19" s="7">
        <v>1873.13</v>
      </c>
      <c r="U19" s="24" t="s">
        <v>67</v>
      </c>
      <c r="V19" s="7">
        <v>104.6</v>
      </c>
      <c r="W19" s="24" t="s">
        <v>67</v>
      </c>
      <c r="X19" s="7"/>
      <c r="Y19" s="24"/>
      <c r="Z19" s="8">
        <v>1.1800000000000001E-10</v>
      </c>
      <c r="AA19" s="34" t="s">
        <v>66</v>
      </c>
      <c r="AB19" s="8">
        <v>1.81E-10</v>
      </c>
      <c r="AC19" s="34" t="s">
        <v>66</v>
      </c>
      <c r="AD19" s="8">
        <v>87.62</v>
      </c>
      <c r="AE19" s="34"/>
      <c r="AF19" s="8">
        <v>35.453000000000003</v>
      </c>
      <c r="AG19" s="34"/>
      <c r="AH19" s="8">
        <f t="shared" si="0"/>
        <v>25.240238395098846</v>
      </c>
      <c r="AI19" s="29"/>
      <c r="AJ19" s="8">
        <v>0.56098472593036264</v>
      </c>
      <c r="AK19" s="29"/>
      <c r="AL19" s="44">
        <f t="shared" si="17"/>
        <v>0.14908322952873526</v>
      </c>
      <c r="AM19" s="29"/>
      <c r="AN19" s="8">
        <f t="shared" si="15"/>
        <v>2727612</v>
      </c>
      <c r="AO19" s="29"/>
      <c r="AP19" s="8"/>
      <c r="AQ19" s="17">
        <f t="shared" si="16"/>
        <v>1873.13</v>
      </c>
      <c r="AR19">
        <v>0</v>
      </c>
      <c r="AT19" s="18">
        <v>3.39</v>
      </c>
      <c r="AU19" s="18">
        <v>-5.7799999999999995E-4</v>
      </c>
    </row>
    <row r="20" spans="1:48" ht="20.25" customHeight="1" x14ac:dyDescent="0.25">
      <c r="A20" s="1" t="s">
        <v>82</v>
      </c>
      <c r="B20" s="55">
        <v>0</v>
      </c>
      <c r="C20" s="1"/>
      <c r="D20" s="55">
        <v>0</v>
      </c>
      <c r="E20" s="1"/>
      <c r="F20" s="55"/>
      <c r="G20" s="1"/>
      <c r="H20" s="55"/>
      <c r="I20" s="1"/>
      <c r="J20">
        <v>136.315</v>
      </c>
      <c r="K20" s="24" t="s">
        <v>83</v>
      </c>
      <c r="L20">
        <v>563</v>
      </c>
      <c r="M20" s="24" t="s">
        <v>84</v>
      </c>
      <c r="N20" s="59">
        <v>5.3667E-5</v>
      </c>
      <c r="O20" s="24" t="s">
        <v>85</v>
      </c>
      <c r="P20" s="8">
        <v>5.2999999999999998E-4</v>
      </c>
      <c r="Q20" s="24" t="s">
        <v>86</v>
      </c>
      <c r="R20" s="8">
        <f t="shared" si="14"/>
        <v>1.8249695558436585E-4</v>
      </c>
      <c r="S20" s="29"/>
      <c r="T20" s="7">
        <v>1013.2455157493654</v>
      </c>
      <c r="U20" s="24" t="s">
        <v>91</v>
      </c>
      <c r="V20">
        <v>100.8</v>
      </c>
      <c r="W20" s="24" t="s">
        <v>84</v>
      </c>
      <c r="X20" s="7"/>
      <c r="Y20" s="24"/>
      <c r="Z20" s="8">
        <v>7.4000000000000003E-11</v>
      </c>
      <c r="AA20" s="34" t="s">
        <v>87</v>
      </c>
      <c r="AB20" s="8">
        <v>1.6699999999999999E-10</v>
      </c>
      <c r="AC20" s="34" t="s">
        <v>87</v>
      </c>
      <c r="AD20" s="8"/>
      <c r="AE20" s="34"/>
      <c r="AF20" s="8"/>
      <c r="AG20" s="34"/>
      <c r="AH20" s="8"/>
      <c r="AI20" s="29"/>
      <c r="AJ20" s="8"/>
      <c r="AK20" s="29"/>
      <c r="AL20" s="44"/>
      <c r="AM20" s="29"/>
      <c r="AN20" s="8">
        <f t="shared" si="15"/>
        <v>2520819.9999999995</v>
      </c>
      <c r="AO20" s="22" t="s">
        <v>84</v>
      </c>
      <c r="AP20" s="8"/>
      <c r="AQ20" s="17">
        <v>1254.9879739041976</v>
      </c>
      <c r="AR20">
        <v>-0.42938269654499506</v>
      </c>
      <c r="AS20" s="24" t="s">
        <v>91</v>
      </c>
      <c r="AT20">
        <v>2.7797999999999998</v>
      </c>
      <c r="AU20" s="18">
        <v>-4.6000000000000001E-4</v>
      </c>
      <c r="AV20" s="22" t="s">
        <v>84</v>
      </c>
    </row>
    <row r="21" spans="1:48" ht="20.25" customHeight="1" x14ac:dyDescent="0.25">
      <c r="A21" s="1" t="s">
        <v>15</v>
      </c>
      <c r="B21" s="55">
        <v>0</v>
      </c>
      <c r="C21" s="1"/>
      <c r="D21" s="55">
        <v>0</v>
      </c>
      <c r="E21" s="1"/>
      <c r="F21" s="55">
        <v>31.63</v>
      </c>
      <c r="G21" s="1"/>
      <c r="H21" s="55">
        <v>238.03</v>
      </c>
      <c r="I21" s="1"/>
      <c r="J21" s="7">
        <v>344.3879</v>
      </c>
      <c r="K21" s="24" t="s">
        <v>69</v>
      </c>
      <c r="L21" s="9">
        <v>1114</v>
      </c>
      <c r="M21" s="24" t="s">
        <v>67</v>
      </c>
      <c r="N21" s="59">
        <f>J21/AN21</f>
        <v>7.5193864628820956E-5</v>
      </c>
      <c r="O21" s="24" t="s">
        <v>67</v>
      </c>
      <c r="P21" s="8">
        <v>3.3300000000000002E-4</v>
      </c>
      <c r="Q21" s="24" t="s">
        <v>67</v>
      </c>
      <c r="R21" s="8">
        <f>-(LN(AT21+(L21+1)*AU21)-LN(AT21+L21*AU21))</f>
        <v>3.2538099650381014E-4</v>
      </c>
      <c r="S21" s="29"/>
      <c r="T21" s="10">
        <v>1248</v>
      </c>
      <c r="U21" s="24" t="s">
        <v>67</v>
      </c>
      <c r="V21" s="9">
        <v>150</v>
      </c>
      <c r="W21" s="24" t="s">
        <v>67</v>
      </c>
      <c r="X21" s="9"/>
      <c r="Y21" s="27"/>
      <c r="Z21" s="11">
        <v>1.16E-10</v>
      </c>
      <c r="AA21" s="34" t="s">
        <v>66</v>
      </c>
      <c r="AB21" s="8">
        <v>1.81E-10</v>
      </c>
      <c r="AC21" s="34" t="s">
        <v>66</v>
      </c>
      <c r="AD21" s="11">
        <v>238.029</v>
      </c>
      <c r="AE21" s="34"/>
      <c r="AF21" s="8">
        <v>35.453000000000003</v>
      </c>
      <c r="AG21" s="34"/>
      <c r="AH21" s="8">
        <f t="shared" si="0"/>
        <v>30.85702948274476</v>
      </c>
      <c r="AI21" s="29"/>
      <c r="AJ21" s="8"/>
      <c r="AK21" s="29"/>
      <c r="AL21" s="8"/>
      <c r="AM21" s="29"/>
      <c r="AN21" s="8">
        <v>4580000</v>
      </c>
      <c r="AO21" s="29"/>
      <c r="AP21" s="8"/>
      <c r="AQ21" s="17">
        <f>T21</f>
        <v>1248</v>
      </c>
      <c r="AR21">
        <v>0</v>
      </c>
      <c r="AT21">
        <v>6.3746999999999998</v>
      </c>
      <c r="AU21">
        <v>-1.5222E-3</v>
      </c>
      <c r="AV21" s="22" t="s">
        <v>43</v>
      </c>
    </row>
    <row r="22" spans="1:48" s="47" customFormat="1" x14ac:dyDescent="0.25">
      <c r="A22" s="42" t="s">
        <v>32</v>
      </c>
      <c r="B22" s="55">
        <v>0</v>
      </c>
      <c r="C22" s="42"/>
      <c r="D22" s="55">
        <v>0</v>
      </c>
      <c r="E22" s="42"/>
      <c r="F22" s="54"/>
      <c r="G22" s="42"/>
      <c r="H22" s="54"/>
      <c r="I22" s="42"/>
      <c r="J22" s="47">
        <v>84.99</v>
      </c>
      <c r="K22" s="43"/>
      <c r="L22" s="49">
        <v>583.15</v>
      </c>
      <c r="M22" s="43" t="s">
        <v>67</v>
      </c>
      <c r="N22" s="61">
        <v>4.4669999999999998E-5</v>
      </c>
      <c r="O22" s="43" t="s">
        <v>67</v>
      </c>
      <c r="P22" s="51">
        <v>3.7599999999999998E-4</v>
      </c>
      <c r="Q22" s="43" t="s">
        <v>67</v>
      </c>
      <c r="R22" s="44">
        <f>-(LN(AT22+(L22+1)*AU22)-LN(AT22+L22*AU22))</f>
        <v>4.0630103216465763E-4</v>
      </c>
      <c r="S22" s="44"/>
      <c r="T22" s="50">
        <v>1807.5</v>
      </c>
      <c r="U22" s="43" t="s">
        <v>67</v>
      </c>
      <c r="V22" s="50">
        <v>155.6</v>
      </c>
      <c r="W22" s="43" t="s">
        <v>67</v>
      </c>
      <c r="X22" s="50">
        <v>1.67</v>
      </c>
      <c r="Y22" s="50"/>
      <c r="Z22" s="44">
        <v>1.02E-10</v>
      </c>
      <c r="AA22" s="44"/>
      <c r="AB22" s="44">
        <v>2.31E-10</v>
      </c>
      <c r="AC22" s="44"/>
      <c r="AD22" s="44">
        <v>22.99</v>
      </c>
      <c r="AE22" s="44"/>
      <c r="AF22" s="44">
        <v>62.004899999999999</v>
      </c>
      <c r="AG22" s="44"/>
      <c r="AH22" s="8">
        <f t="shared" si="0"/>
        <v>16.771508066954603</v>
      </c>
      <c r="AI22" s="44"/>
      <c r="AJ22" s="44"/>
      <c r="AK22" s="44"/>
      <c r="AL22" s="44"/>
      <c r="AM22" s="44"/>
      <c r="AN22" s="44">
        <f>(AT22+L22*AU22)*1000000</f>
        <v>1886915.5249999999</v>
      </c>
      <c r="AO22" s="44"/>
      <c r="AP22" s="47">
        <v>2175</v>
      </c>
      <c r="AQ22" s="47">
        <f>AP22+273.15</f>
        <v>2448.15</v>
      </c>
      <c r="AR22" s="47">
        <v>-1.155</v>
      </c>
      <c r="AS22" s="47" t="s">
        <v>64</v>
      </c>
      <c r="AT22" s="52">
        <v>2.3338999999999999</v>
      </c>
      <c r="AU22" s="48">
        <v>-7.6650000000000004E-4</v>
      </c>
      <c r="AV22" s="47" t="s">
        <v>41</v>
      </c>
    </row>
    <row r="23" spans="1:48" s="47" customFormat="1" x14ac:dyDescent="0.25">
      <c r="A23" s="42" t="s">
        <v>33</v>
      </c>
      <c r="B23" s="55">
        <v>0</v>
      </c>
      <c r="C23" s="42"/>
      <c r="D23" s="55">
        <v>0</v>
      </c>
      <c r="E23" s="42"/>
      <c r="F23" s="54"/>
      <c r="G23" s="42"/>
      <c r="H23" s="54"/>
      <c r="I23" s="42"/>
      <c r="J23" s="47">
        <v>101.1</v>
      </c>
      <c r="K23" s="43"/>
      <c r="L23" s="50">
        <v>610.15</v>
      </c>
      <c r="M23" s="43" t="s">
        <v>67</v>
      </c>
      <c r="N23" s="61">
        <v>5.4060000000000001E-5</v>
      </c>
      <c r="O23" s="43" t="s">
        <v>67</v>
      </c>
      <c r="P23" s="51">
        <v>3.8999999999999999E-4</v>
      </c>
      <c r="Q23" s="43" t="s">
        <v>67</v>
      </c>
      <c r="R23" s="44">
        <f>-(LN(AT23+(L23+1)*AU23)-LN(AT23+L23*AU23))</f>
        <v>3.8987373799248548E-4</v>
      </c>
      <c r="S23" s="44"/>
      <c r="T23" s="50">
        <v>1754.62</v>
      </c>
      <c r="U23" s="43" t="s">
        <v>67</v>
      </c>
      <c r="V23" s="50">
        <v>141</v>
      </c>
      <c r="W23" s="43" t="s">
        <v>67</v>
      </c>
      <c r="X23" s="50">
        <v>1.39</v>
      </c>
      <c r="Y23" s="50"/>
      <c r="Z23" s="44">
        <v>1.3799999999999999E-10</v>
      </c>
      <c r="AA23" s="44"/>
      <c r="AB23" s="44">
        <v>2.31E-10</v>
      </c>
      <c r="AC23" s="44"/>
      <c r="AD23" s="44">
        <v>39.097999999999999</v>
      </c>
      <c r="AE23" s="44"/>
      <c r="AF23" s="44">
        <v>62.004899999999999</v>
      </c>
      <c r="AG23" s="44"/>
      <c r="AH23" s="8">
        <f t="shared" si="0"/>
        <v>23.978220013471422</v>
      </c>
      <c r="AI23" s="44"/>
      <c r="AJ23" s="44"/>
      <c r="AK23" s="44"/>
      <c r="AL23" s="44"/>
      <c r="AM23" s="44"/>
      <c r="AN23" s="44">
        <f>(AT23+L23*AU23)*1000000</f>
        <v>1870200.65</v>
      </c>
      <c r="AO23" s="44"/>
      <c r="AP23" s="47">
        <v>2144</v>
      </c>
      <c r="AQ23" s="47">
        <f>AP23+273.15</f>
        <v>2417.15</v>
      </c>
      <c r="AR23" s="47">
        <v>-1.1200000000000001</v>
      </c>
      <c r="AS23" s="47" t="s">
        <v>65</v>
      </c>
      <c r="AT23" s="52">
        <v>2.3149999999999999</v>
      </c>
      <c r="AU23" s="48">
        <v>-7.2900000000000005E-4</v>
      </c>
      <c r="AV23" s="47" t="s">
        <v>41</v>
      </c>
    </row>
    <row r="25" spans="1:48" ht="15.75" x14ac:dyDescent="0.25">
      <c r="Z25" s="19"/>
      <c r="AA25" s="35"/>
      <c r="AD25" s="19"/>
      <c r="AE25" s="35"/>
      <c r="AN25" s="16">
        <f>AVERAGE(AN2:AN23)</f>
        <v>2680541.4756652657</v>
      </c>
      <c r="AT25" s="2"/>
      <c r="AU25" s="8"/>
    </row>
    <row r="26" spans="1:48" x14ac:dyDescent="0.25">
      <c r="AT26" s="13"/>
      <c r="AU26" s="13"/>
    </row>
    <row r="27" spans="1:48" x14ac:dyDescent="0.25">
      <c r="AT27" s="13"/>
      <c r="AU27" s="13"/>
    </row>
    <row r="28" spans="1:48" x14ac:dyDescent="0.25">
      <c r="P28"/>
      <c r="Q28" s="22"/>
      <c r="R28"/>
      <c r="S28" s="22"/>
      <c r="T28"/>
      <c r="U28" s="22"/>
      <c r="AT28" s="8"/>
      <c r="AU28" s="13"/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D6D4-B4DF-4C40-8E63-A2B97D0EC44A}">
  <dimension ref="A1:H28"/>
  <sheetViews>
    <sheetView workbookViewId="0">
      <selection activeCell="D23" sqref="D23"/>
    </sheetView>
  </sheetViews>
  <sheetFormatPr defaultRowHeight="15" x14ac:dyDescent="0.25"/>
  <cols>
    <col min="6" max="6" width="11.28515625" bestFit="1" customWidth="1"/>
    <col min="7" max="8" width="12" bestFit="1" customWidth="1"/>
  </cols>
  <sheetData>
    <row r="1" spans="1:8" x14ac:dyDescent="0.25">
      <c r="A1">
        <v>310.01097694840797</v>
      </c>
      <c r="B1">
        <v>912.47311827956901</v>
      </c>
      <c r="C1">
        <v>0.81194471865745199</v>
      </c>
      <c r="G1" t="s">
        <v>72</v>
      </c>
    </row>
    <row r="2" spans="1:8" x14ac:dyDescent="0.25">
      <c r="A2">
        <v>321.99780461031798</v>
      </c>
      <c r="B2">
        <v>938.70967741935397</v>
      </c>
      <c r="C2">
        <v>0.80083909180651502</v>
      </c>
      <c r="E2">
        <v>850</v>
      </c>
      <c r="F2">
        <f>273.15+E2</f>
        <v>1123.1500000000001</v>
      </c>
      <c r="G2">
        <f>H2/100^3</f>
        <v>2.1981000000000002E-5</v>
      </c>
      <c r="H2">
        <v>21.981000000000002</v>
      </c>
    </row>
    <row r="3" spans="1:8" x14ac:dyDescent="0.25">
      <c r="A3">
        <v>345.97145993413801</v>
      </c>
      <c r="B3">
        <v>976.55913978494596</v>
      </c>
      <c r="C3">
        <v>0.78603158933859796</v>
      </c>
      <c r="E3">
        <v>900</v>
      </c>
      <c r="F3">
        <f t="shared" ref="F3:F4" si="0">273.15+E3</f>
        <v>1173.1500000000001</v>
      </c>
      <c r="G3">
        <f>H3/100^3</f>
        <v>2.2351999999999999E-5</v>
      </c>
      <c r="H3">
        <v>22.352</v>
      </c>
    </row>
    <row r="4" spans="1:8" x14ac:dyDescent="0.25">
      <c r="A4">
        <v>370.07683863885802</v>
      </c>
      <c r="B4">
        <v>989.46236559139697</v>
      </c>
      <c r="C4">
        <v>0.78010858835143104</v>
      </c>
      <c r="E4">
        <v>950</v>
      </c>
      <c r="F4">
        <f t="shared" si="0"/>
        <v>1223.1500000000001</v>
      </c>
      <c r="G4">
        <f>H4/100^3</f>
        <v>2.2736000000000001E-5</v>
      </c>
      <c r="H4">
        <v>22.736000000000001</v>
      </c>
    </row>
    <row r="5" spans="1:8" x14ac:dyDescent="0.25">
      <c r="A5">
        <v>394.05049396267799</v>
      </c>
      <c r="B5">
        <v>1021.72043010752</v>
      </c>
      <c r="C5">
        <v>0.76752221125370101</v>
      </c>
    </row>
    <row r="6" spans="1:8" x14ac:dyDescent="0.25">
      <c r="A6">
        <v>409.06695938528998</v>
      </c>
      <c r="B6">
        <v>1078.0645161290299</v>
      </c>
      <c r="C6">
        <v>0.74457058242842999</v>
      </c>
    </row>
    <row r="7" spans="1:8" x14ac:dyDescent="0.25">
      <c r="A7">
        <v>415.126234906695</v>
      </c>
      <c r="B7">
        <v>1103.8709677419299</v>
      </c>
      <c r="C7">
        <v>0.734205330700888</v>
      </c>
    </row>
    <row r="8" spans="1:8" x14ac:dyDescent="0.25">
      <c r="B8">
        <v>1136.55913978494</v>
      </c>
      <c r="C8">
        <v>0.72013820335636702</v>
      </c>
    </row>
    <row r="9" spans="1:8" x14ac:dyDescent="0.25">
      <c r="B9">
        <v>1152.4731182795699</v>
      </c>
      <c r="C9">
        <v>0.71347482724580402</v>
      </c>
      <c r="F9" s="41">
        <f>SLOPE(G2:G4,F2:F4)</f>
        <v>7.5499999999999865E-9</v>
      </c>
      <c r="G9">
        <f>INTERCEPT(G2:G4,F2:F4)</f>
        <v>1.3499050833333351E-5</v>
      </c>
      <c r="H9" t="s">
        <v>73</v>
      </c>
    </row>
    <row r="10" spans="1:8" x14ac:dyDescent="0.25">
      <c r="B10">
        <v>1198.0645161290299</v>
      </c>
      <c r="C10">
        <v>0.69570582428430305</v>
      </c>
    </row>
    <row r="11" spans="1:8" x14ac:dyDescent="0.25">
      <c r="B11">
        <v>1217.8494623655899</v>
      </c>
      <c r="C11">
        <v>0.68682132280355301</v>
      </c>
    </row>
    <row r="12" spans="1:8" x14ac:dyDescent="0.25">
      <c r="B12">
        <v>1253.5483870967701</v>
      </c>
      <c r="C12">
        <v>0.67275419545903203</v>
      </c>
    </row>
    <row r="13" spans="1:8" x14ac:dyDescent="0.25">
      <c r="B13">
        <v>1275.0537634408599</v>
      </c>
      <c r="C13">
        <v>0.66386969397828199</v>
      </c>
    </row>
    <row r="14" spans="1:8" x14ac:dyDescent="0.25">
      <c r="B14">
        <v>1293.97849462365</v>
      </c>
      <c r="C14">
        <v>0.65572556762092704</v>
      </c>
    </row>
    <row r="22" spans="1:6" x14ac:dyDescent="0.25">
      <c r="D22" t="s">
        <v>90</v>
      </c>
      <c r="E22" t="s">
        <v>89</v>
      </c>
    </row>
    <row r="23" spans="1:6" x14ac:dyDescent="0.25">
      <c r="A23" t="s">
        <v>82</v>
      </c>
      <c r="B23">
        <v>846.02169572673597</v>
      </c>
      <c r="C23">
        <v>895.93594882343098</v>
      </c>
      <c r="D23">
        <f>SLOPE(C23:C28,B23:B28)</f>
        <v>-0.42938269654499506</v>
      </c>
      <c r="E23">
        <f>INTERCEPT(C23:C28,B23:B28)</f>
        <v>1254.9879739041976</v>
      </c>
      <c r="F23">
        <f>563*D23+E23</f>
        <v>1013.2455157493654</v>
      </c>
    </row>
    <row r="24" spans="1:6" x14ac:dyDescent="0.25">
      <c r="A24" t="s">
        <v>88</v>
      </c>
      <c r="B24">
        <v>881.38931776310403</v>
      </c>
      <c r="C24">
        <v>870.86566653758496</v>
      </c>
    </row>
    <row r="25" spans="1:6" x14ac:dyDescent="0.25">
      <c r="A25">
        <v>1993</v>
      </c>
      <c r="B25">
        <v>910.05007350931999</v>
      </c>
      <c r="C25">
        <v>861.94798859390096</v>
      </c>
    </row>
    <row r="26" spans="1:6" x14ac:dyDescent="0.25">
      <c r="B26">
        <v>929.756270923334</v>
      </c>
      <c r="C26">
        <v>858.39942466593902</v>
      </c>
    </row>
    <row r="27" spans="1:6" x14ac:dyDescent="0.25">
      <c r="B27">
        <v>952.59193694124099</v>
      </c>
      <c r="C27">
        <v>846.77405565250604</v>
      </c>
    </row>
    <row r="28" spans="1:6" x14ac:dyDescent="0.25">
      <c r="B28">
        <v>982.59312717196099</v>
      </c>
      <c r="C28">
        <v>833.36836970242496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Numbers, Jacob Clay</cp:lastModifiedBy>
  <dcterms:created xsi:type="dcterms:W3CDTF">2024-02-27T14:20:59Z</dcterms:created>
  <dcterms:modified xsi:type="dcterms:W3CDTF">2026-03-20T17:10:37Z</dcterms:modified>
</cp:coreProperties>
</file>