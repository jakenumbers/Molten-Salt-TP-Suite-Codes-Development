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en\Documents\TC_Comparison_Code\Not_Required_for_TC_Calcs\"/>
    </mc:Choice>
  </mc:AlternateContent>
  <xr:revisionPtr revIDLastSave="0" documentId="13_ncr:1_{8ED25FFE-70E6-4FC5-ABE5-4E8442BB7D29}" xr6:coauthVersionLast="47" xr6:coauthVersionMax="47" xr10:uidLastSave="{00000000-0000-0000-0000-000000000000}"/>
  <bookViews>
    <workbookView xWindow="3075" yWindow="1650" windowWidth="15075" windowHeight="11295" xr2:uid="{C141A2AE-4368-42EC-BF74-ED453A14E26F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M32" i="1"/>
  <c r="B27" i="1"/>
  <c r="D27" i="1"/>
  <c r="D26" i="1"/>
  <c r="N74" i="2"/>
  <c r="M74" i="2"/>
  <c r="P74" i="2" s="1"/>
  <c r="M79" i="2"/>
  <c r="M80" i="2"/>
  <c r="M81" i="2"/>
  <c r="M82" i="2"/>
  <c r="M75" i="2"/>
  <c r="M76" i="2"/>
  <c r="M77" i="2"/>
  <c r="M78" i="2"/>
  <c r="O74" i="2" l="1"/>
  <c r="M83" i="2" s="1"/>
  <c r="E75" i="2"/>
  <c r="E77" i="2"/>
  <c r="E79" i="2"/>
  <c r="E80" i="2"/>
  <c r="E81" i="2"/>
  <c r="E82" i="2"/>
  <c r="E74" i="2"/>
  <c r="G74" i="2" s="1"/>
  <c r="N5" i="1"/>
  <c r="M5" i="1"/>
  <c r="F78" i="2" l="1"/>
  <c r="F76" i="2"/>
  <c r="O4" i="2"/>
  <c r="P4" i="2"/>
  <c r="N17" i="1"/>
  <c r="M17" i="1"/>
  <c r="N22" i="1"/>
  <c r="M22" i="1"/>
  <c r="N20" i="1"/>
  <c r="M20" i="1"/>
  <c r="P35" i="2"/>
  <c r="O35" i="2"/>
  <c r="N35" i="2"/>
  <c r="O38" i="2" s="1"/>
  <c r="P26" i="2"/>
  <c r="O26" i="2"/>
  <c r="N26" i="2"/>
  <c r="N4" i="2"/>
  <c r="E70" i="2"/>
  <c r="E69" i="2"/>
  <c r="E68" i="2"/>
  <c r="E67" i="2"/>
  <c r="E66" i="2"/>
  <c r="E65" i="2"/>
  <c r="E58" i="2"/>
  <c r="E56" i="2"/>
  <c r="E59" i="2"/>
  <c r="E60" i="2"/>
  <c r="E61" i="2"/>
  <c r="E57" i="2"/>
  <c r="E55" i="2"/>
  <c r="E54" i="2"/>
  <c r="E53" i="2"/>
  <c r="E52" i="2"/>
  <c r="E48" i="2"/>
  <c r="E47" i="2"/>
  <c r="E46" i="2"/>
  <c r="E45" i="2"/>
  <c r="E44" i="2"/>
  <c r="E43" i="2"/>
  <c r="E39" i="2"/>
  <c r="E38" i="2"/>
  <c r="E37" i="2"/>
  <c r="E36" i="2"/>
  <c r="E35" i="2"/>
  <c r="E34" i="2"/>
  <c r="E33" i="2"/>
  <c r="E32" i="2"/>
  <c r="E31" i="2"/>
  <c r="E30" i="2"/>
  <c r="G76" i="2" l="1"/>
  <c r="D76" i="2"/>
  <c r="G78" i="2"/>
  <c r="D78" i="2" s="1"/>
  <c r="O29" i="2"/>
  <c r="G65" i="2"/>
  <c r="G30" i="2"/>
  <c r="G43" i="2"/>
  <c r="G52" i="2"/>
  <c r="F65" i="2"/>
  <c r="F52" i="2"/>
  <c r="F43" i="2"/>
  <c r="F30" i="2"/>
  <c r="N13" i="1" l="1"/>
  <c r="N12" i="1"/>
  <c r="N10" i="1"/>
  <c r="N21" i="1"/>
  <c r="N30" i="1"/>
  <c r="N14" i="1"/>
  <c r="N11" i="1"/>
  <c r="N3" i="1"/>
  <c r="N4" i="1"/>
  <c r="N6" i="1"/>
  <c r="N7" i="1"/>
  <c r="N8" i="1"/>
  <c r="N9" i="1"/>
  <c r="N2" i="1"/>
  <c r="M10" i="1"/>
  <c r="M13" i="1"/>
  <c r="M30" i="1"/>
  <c r="M21" i="1"/>
  <c r="M14" i="1"/>
  <c r="M3" i="1"/>
  <c r="M4" i="1"/>
  <c r="M6" i="1"/>
  <c r="M7" i="1"/>
  <c r="M8" i="1"/>
  <c r="M9" i="1"/>
  <c r="M11" i="1"/>
  <c r="M2" i="1"/>
  <c r="M12" i="1"/>
  <c r="N19" i="1"/>
  <c r="M19" i="1"/>
  <c r="N18" i="1"/>
  <c r="M18" i="1"/>
  <c r="E26" i="2"/>
  <c r="E25" i="2"/>
  <c r="E24" i="2"/>
  <c r="E23" i="2"/>
  <c r="E22" i="2"/>
  <c r="E21" i="2"/>
  <c r="E20" i="2"/>
  <c r="E19" i="2"/>
  <c r="E18" i="2"/>
  <c r="E17" i="2"/>
  <c r="B18" i="1"/>
  <c r="G5" i="2"/>
  <c r="I5" i="2" s="1"/>
  <c r="F5" i="2"/>
  <c r="H5" i="2" s="1"/>
  <c r="E5" i="2"/>
  <c r="E6" i="2"/>
  <c r="E7" i="2"/>
  <c r="E8" i="2"/>
  <c r="E9" i="2"/>
  <c r="E10" i="2"/>
  <c r="E11" i="2"/>
  <c r="E12" i="2"/>
  <c r="E13" i="2"/>
  <c r="E4" i="2"/>
  <c r="F4" i="2" l="1"/>
  <c r="G4" i="2"/>
  <c r="G17" i="2"/>
  <c r="F17" i="2"/>
  <c r="H74" i="2" l="1"/>
  <c r="F74" i="2"/>
</calcChain>
</file>

<file path=xl/sharedStrings.xml><?xml version="1.0" encoding="utf-8"?>
<sst xmlns="http://schemas.openxmlformats.org/spreadsheetml/2006/main" count="238" uniqueCount="126">
  <si>
    <t>Salt Composition</t>
  </si>
  <si>
    <t>Tm [K]</t>
  </si>
  <si>
    <t>cp0' ×10^6 [J/m³K]</t>
  </si>
  <si>
    <t>dcp'/dT [J/m³K²]</t>
  </si>
  <si>
    <t>vs0 [m/s]</t>
  </si>
  <si>
    <t>dvs/dT [m/sK]</t>
  </si>
  <si>
    <t>l_sc [Å]</t>
  </si>
  <si>
    <t>k0 [W/mK]</t>
  </si>
  <si>
    <t>PDF Source</t>
  </si>
  <si>
    <t>LiF</t>
  </si>
  <si>
    <t>NaF</t>
  </si>
  <si>
    <t>KF</t>
  </si>
  <si>
    <t>LiCl</t>
  </si>
  <si>
    <t>NaCl</t>
  </si>
  <si>
    <t>KCl</t>
  </si>
  <si>
    <t>MgCl2</t>
  </si>
  <si>
    <t>CaCl2</t>
  </si>
  <si>
    <t>SrCl2</t>
  </si>
  <si>
    <t>0.6LiF-0.4NaF</t>
  </si>
  <si>
    <t>0.5KCl-0.5NaCl</t>
  </si>
  <si>
    <t>0.3CaCl2-0.7LiCl</t>
  </si>
  <si>
    <t>0.5097CaCl2-0.4903NaCl</t>
  </si>
  <si>
    <t>0.282CaCl2-0.718KCl</t>
  </si>
  <si>
    <t>0.5BeF2-0.5LiF</t>
  </si>
  <si>
    <t>0.34BeF2-0.66LiF</t>
  </si>
  <si>
    <t>0.42KF-0.465LiF-0.115NaF</t>
  </si>
  <si>
    <t>0.59KF-0.065MgF2-0.345NaF</t>
  </si>
  <si>
    <t>0.22KCl-0.45MgCl2-0.33NaCl</t>
  </si>
  <si>
    <t>0.41KCl-0.38MgCl2-0.21NaCl</t>
  </si>
  <si>
    <t>0.525CaCl2-0.058KCl-0.417NaCl</t>
  </si>
  <si>
    <t>0.15CaCl2-0.315MgCl2-0.535NaCl</t>
  </si>
  <si>
    <t>0.64NaCl-0.36UCl3</t>
  </si>
  <si>
    <t>0.5454LiF-0.3636NaF-0.091UF4</t>
  </si>
  <si>
    <t>Walz, 2019</t>
  </si>
  <si>
    <t>Roy, 2021</t>
  </si>
  <si>
    <t>McGreevy, 1987</t>
  </si>
  <si>
    <t>Grizzi, 2024</t>
  </si>
  <si>
    <t>Manga, 2013</t>
  </si>
  <si>
    <t>Liang, 2024</t>
  </si>
  <si>
    <t>Wei, 2022</t>
  </si>
  <si>
    <t>Sun, 2024</t>
  </si>
  <si>
    <t>Langford, 2022</t>
  </si>
  <si>
    <t>Frandsen, 2020</t>
  </si>
  <si>
    <t>Solano, 2021</t>
  </si>
  <si>
    <t>Jiang, 2024</t>
  </si>
  <si>
    <t>Andersson, 2022</t>
  </si>
  <si>
    <t>cp [J/gK]</t>
  </si>
  <si>
    <t>cpm [J/molK]</t>
  </si>
  <si>
    <t>p (p + dp/dT*T[K])</t>
  </si>
  <si>
    <t>dp/dT</t>
  </si>
  <si>
    <t>Ref</t>
  </si>
  <si>
    <t>Rose, 2023, Property, NaCl-UCl3 (0.341UCl3)</t>
  </si>
  <si>
    <t>Slope</t>
  </si>
  <si>
    <t>Intercept</t>
  </si>
  <si>
    <t>K</t>
  </si>
  <si>
    <t>rho</t>
  </si>
  <si>
    <t>g/cm3</t>
  </si>
  <si>
    <t>Desyatnik, 1975</t>
  </si>
  <si>
    <t>kg/cm3</t>
  </si>
  <si>
    <t>Desyatnik, 1975, Density</t>
  </si>
  <si>
    <t>Minchenko, 1985, Velocity</t>
  </si>
  <si>
    <t>Il'na, 2021, Thermal</t>
  </si>
  <si>
    <t>Cantor</t>
  </si>
  <si>
    <t>Rogers 1982 [121]</t>
  </si>
  <si>
    <t>Gallagher 2021 [157]</t>
  </si>
  <si>
    <t>dcpm/dT</t>
  </si>
  <si>
    <t>Beilmann 2011 [162]</t>
  </si>
  <si>
    <t>Janz 1974 [69]</t>
  </si>
  <si>
    <t>Robertson, 2022</t>
  </si>
  <si>
    <t>Powers 1963 [114]</t>
  </si>
  <si>
    <t>Yin 2020 [153]</t>
  </si>
  <si>
    <t>Van Artsdalen 1955 [144]</t>
  </si>
  <si>
    <t>Moore 1943 [96]</t>
  </si>
  <si>
    <t>Cantor 1973 [29]</t>
  </si>
  <si>
    <t>Yaffe 1956 [152]</t>
  </si>
  <si>
    <t>Wei, 2022 (NaCaMg1)</t>
  </si>
  <si>
    <t>Wei, 2022 (NaCaK)</t>
  </si>
  <si>
    <t>Wei, 2022 (NaCa1)</t>
  </si>
  <si>
    <t>Wei</t>
  </si>
  <si>
    <t>NaCa1</t>
  </si>
  <si>
    <t>KCa2</t>
  </si>
  <si>
    <t>Wei, 2022 (KaCa3, Janz, 1978)</t>
  </si>
  <si>
    <t>NaCaK1</t>
  </si>
  <si>
    <t>NaCaMg1</t>
  </si>
  <si>
    <t>J/gK</t>
  </si>
  <si>
    <t>cp</t>
  </si>
  <si>
    <t>cp/dT</t>
  </si>
  <si>
    <t>Average</t>
  </si>
  <si>
    <t>Bergman 1945 [12]</t>
  </si>
  <si>
    <t>Rudenko 2024 [178]</t>
  </si>
  <si>
    <t>Solano 2021 [134]</t>
  </si>
  <si>
    <t>Wang 2021 [179]</t>
  </si>
  <si>
    <t>Benes 2009 [14]</t>
  </si>
  <si>
    <t>Cantor 1969 [33]</t>
  </si>
  <si>
    <t>Rosenthal 1969 [122]</t>
  </si>
  <si>
    <t>Douglas 1954 [47]</t>
  </si>
  <si>
    <t>Dawson 1963 [44]</t>
  </si>
  <si>
    <t>Johnson 1958 [72]</t>
  </si>
  <si>
    <t>Haendler 1959 [62]</t>
  </si>
  <si>
    <t>Dworkin 1963 [52]</t>
  </si>
  <si>
    <t>Yingling 2023 [158]</t>
  </si>
  <si>
    <t>ThF4</t>
  </si>
  <si>
    <t>Soucek 2017 [130]</t>
  </si>
  <si>
    <t>0.85KCl-0.15UCl3</t>
  </si>
  <si>
    <t>0.75KCl-0.25UCl3</t>
  </si>
  <si>
    <t>0.65KCl-0.35UCl3</t>
  </si>
  <si>
    <t>0.5KCl-0.5UCl3</t>
  </si>
  <si>
    <t>Yingling 2023 [161]</t>
  </si>
  <si>
    <t>J/gC</t>
  </si>
  <si>
    <t>J/kgC</t>
  </si>
  <si>
    <t>x(UCl3)</t>
  </si>
  <si>
    <t>Kim</t>
  </si>
  <si>
    <t>KCl-UCl3</t>
  </si>
  <si>
    <t>Bratescu</t>
  </si>
  <si>
    <t>kg/m3</t>
  </si>
  <si>
    <t>Bratescu, 2023</t>
  </si>
  <si>
    <t>R2</t>
  </si>
  <si>
    <t>Bratescu, 2023 (extrapolated)</t>
  </si>
  <si>
    <t>Kim, 2023</t>
  </si>
  <si>
    <t>0.5LiCl-0.5KCl</t>
  </si>
  <si>
    <t>0.637LiCl-0.363KCl</t>
  </si>
  <si>
    <t>0.22NaCl-0.393KCl-0.387ZnCl2</t>
  </si>
  <si>
    <t>0.582LiCl-0.418KCl</t>
  </si>
  <si>
    <t>Redkin 2017 [118]</t>
  </si>
  <si>
    <t xml:space="preserve">FactSage 8.4 </t>
  </si>
  <si>
    <t>Xi, 2024 Microstructure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</si>
</sst>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zoomScale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9" sqref="B29"/>
    </sheetView>
  </sheetViews>
  <sheetFormatPr defaultRowHeight="15" x14ac:dyDescent="0.25"/>
  <cols>
    <col min="1" max="1" width="29.5703125" customWidth="1"/>
    <col min="2" max="2" width="8.140625" customWidth="1"/>
    <col min="3" max="3" width="7.140625" customWidth="1"/>
    <col min="4" max="5" width="9.5703125" customWidth="1"/>
    <col min="6" max="6" width="7" customWidth="1"/>
    <col min="7" max="8" width="14.42578125" customWidth="1"/>
    <col min="9" max="9" width="7" customWidth="1"/>
    <col min="10" max="11" width="16.42578125" customWidth="1"/>
    <col min="12" max="12" width="7" customWidth="1"/>
    <col min="13" max="13" width="18" customWidth="1"/>
    <col min="14" max="14" width="9.28515625" customWidth="1"/>
    <col min="15" max="15" width="9.140625" customWidth="1"/>
    <col min="16" max="16" width="11.85546875" customWidth="1"/>
    <col min="17" max="17" width="15.140625" customWidth="1"/>
    <col min="18" max="18" width="8.5703125" customWidth="1"/>
    <col min="19" max="20" width="19.42578125" customWidth="1"/>
  </cols>
  <sheetData>
    <row r="1" spans="1:21" x14ac:dyDescent="0.25">
      <c r="A1" s="1" t="s">
        <v>0</v>
      </c>
      <c r="B1" s="1" t="s">
        <v>1</v>
      </c>
      <c r="C1" s="1" t="s">
        <v>50</v>
      </c>
      <c r="D1" s="1" t="s">
        <v>46</v>
      </c>
      <c r="E1" s="1" t="s">
        <v>86</v>
      </c>
      <c r="F1" s="1" t="s">
        <v>50</v>
      </c>
      <c r="G1" s="1" t="s">
        <v>47</v>
      </c>
      <c r="H1" s="1" t="s">
        <v>65</v>
      </c>
      <c r="I1" s="1" t="s">
        <v>50</v>
      </c>
      <c r="J1" s="1" t="s">
        <v>2</v>
      </c>
      <c r="K1" s="1" t="s">
        <v>3</v>
      </c>
      <c r="L1" s="1" t="s">
        <v>50</v>
      </c>
      <c r="M1" s="1" t="s">
        <v>48</v>
      </c>
      <c r="N1" s="1" t="s">
        <v>49</v>
      </c>
      <c r="O1" s="1" t="s">
        <v>50</v>
      </c>
      <c r="P1" s="1" t="s">
        <v>4</v>
      </c>
      <c r="Q1" s="1" t="s">
        <v>5</v>
      </c>
      <c r="R1" s="1" t="s">
        <v>50</v>
      </c>
      <c r="S1" s="1" t="s">
        <v>6</v>
      </c>
      <c r="T1" s="1" t="s">
        <v>7</v>
      </c>
      <c r="U1" s="1" t="s">
        <v>8</v>
      </c>
    </row>
    <row r="2" spans="1:21" x14ac:dyDescent="0.25">
      <c r="A2" t="s">
        <v>9</v>
      </c>
      <c r="B2" s="2">
        <v>1121.2</v>
      </c>
      <c r="C2" s="2" t="s">
        <v>95</v>
      </c>
      <c r="M2">
        <f>0*100^3/1000</f>
        <v>0</v>
      </c>
      <c r="N2">
        <f>-1*0*100^3/1000</f>
        <v>0</v>
      </c>
      <c r="S2">
        <v>3.4493499999999999</v>
      </c>
      <c r="T2">
        <v>1.3240000000000001</v>
      </c>
      <c r="U2" t="s">
        <v>33</v>
      </c>
    </row>
    <row r="3" spans="1:21" x14ac:dyDescent="0.25">
      <c r="A3" t="s">
        <v>10</v>
      </c>
      <c r="B3" s="2">
        <v>1073.8</v>
      </c>
      <c r="C3" s="2" t="s">
        <v>96</v>
      </c>
      <c r="M3">
        <f t="shared" ref="M3:M14" si="0">0*100^3/1000</f>
        <v>0</v>
      </c>
      <c r="N3">
        <f t="shared" ref="N3:N9" si="1">-1*0*100^3/1000</f>
        <v>0</v>
      </c>
      <c r="S3">
        <v>3.9325000000000001</v>
      </c>
      <c r="T3">
        <v>0.879</v>
      </c>
      <c r="U3" t="s">
        <v>33</v>
      </c>
    </row>
    <row r="4" spans="1:21" x14ac:dyDescent="0.25">
      <c r="A4" t="s">
        <v>11</v>
      </c>
      <c r="B4" s="2">
        <v>1131.2</v>
      </c>
      <c r="C4" s="2" t="s">
        <v>97</v>
      </c>
      <c r="M4">
        <f t="shared" si="0"/>
        <v>0</v>
      </c>
      <c r="N4">
        <f t="shared" si="1"/>
        <v>0</v>
      </c>
      <c r="S4">
        <v>4.3669399999999996</v>
      </c>
      <c r="T4">
        <v>0.58099999999999996</v>
      </c>
      <c r="U4" t="s">
        <v>33</v>
      </c>
    </row>
    <row r="5" spans="1:21" x14ac:dyDescent="0.25">
      <c r="A5" t="s">
        <v>101</v>
      </c>
      <c r="B5" s="2">
        <v>1384</v>
      </c>
      <c r="C5" t="s">
        <v>102</v>
      </c>
      <c r="M5">
        <f>7.11*100^3/1000</f>
        <v>7110</v>
      </c>
      <c r="N5">
        <f>-1*0.000759*100^3/1000</f>
        <v>-0.75900000000000001</v>
      </c>
    </row>
    <row r="6" spans="1:21" x14ac:dyDescent="0.25">
      <c r="A6" t="s">
        <v>12</v>
      </c>
      <c r="B6" s="2">
        <v>883</v>
      </c>
      <c r="C6" s="2" t="s">
        <v>98</v>
      </c>
      <c r="M6">
        <f t="shared" si="0"/>
        <v>0</v>
      </c>
      <c r="N6">
        <f t="shared" si="1"/>
        <v>0</v>
      </c>
      <c r="S6">
        <v>4.2592100000000004</v>
      </c>
      <c r="T6">
        <v>0.67500000000000004</v>
      </c>
      <c r="U6" t="s">
        <v>33</v>
      </c>
    </row>
    <row r="7" spans="1:21" x14ac:dyDescent="0.25">
      <c r="A7" t="s">
        <v>13</v>
      </c>
      <c r="B7" s="2">
        <v>1073.8</v>
      </c>
      <c r="C7" s="2" t="s">
        <v>96</v>
      </c>
      <c r="M7">
        <f t="shared" si="0"/>
        <v>0</v>
      </c>
      <c r="N7">
        <f t="shared" si="1"/>
        <v>0</v>
      </c>
      <c r="S7">
        <v>4.6322299999999998</v>
      </c>
      <c r="T7">
        <v>0.48399999999999999</v>
      </c>
      <c r="U7" t="s">
        <v>33</v>
      </c>
    </row>
    <row r="8" spans="1:21" x14ac:dyDescent="0.25">
      <c r="A8" t="s">
        <v>14</v>
      </c>
      <c r="B8" s="2">
        <v>1042.7</v>
      </c>
      <c r="C8" s="2" t="s">
        <v>97</v>
      </c>
      <c r="M8">
        <f t="shared" si="0"/>
        <v>0</v>
      </c>
      <c r="N8">
        <f t="shared" si="1"/>
        <v>0</v>
      </c>
      <c r="S8">
        <v>5.09199</v>
      </c>
      <c r="T8">
        <v>0.372</v>
      </c>
      <c r="U8" t="s">
        <v>33</v>
      </c>
    </row>
    <row r="9" spans="1:21" x14ac:dyDescent="0.25">
      <c r="A9" t="s">
        <v>15</v>
      </c>
      <c r="B9" s="2">
        <v>987</v>
      </c>
      <c r="C9" s="2" t="s">
        <v>72</v>
      </c>
      <c r="M9">
        <f t="shared" si="0"/>
        <v>0</v>
      </c>
      <c r="N9">
        <f t="shared" si="1"/>
        <v>0</v>
      </c>
      <c r="S9">
        <v>4.5369200000000003</v>
      </c>
      <c r="T9">
        <v>0.439</v>
      </c>
      <c r="U9" t="s">
        <v>34</v>
      </c>
    </row>
    <row r="10" spans="1:21" x14ac:dyDescent="0.25">
      <c r="A10" t="s">
        <v>16</v>
      </c>
      <c r="B10" s="2">
        <v>1045</v>
      </c>
      <c r="C10" s="2" t="s">
        <v>72</v>
      </c>
      <c r="G10" s="2">
        <v>102.533</v>
      </c>
      <c r="I10" s="2" t="s">
        <v>72</v>
      </c>
      <c r="M10" s="2">
        <f>2.53*100^3/1000</f>
        <v>2530</v>
      </c>
      <c r="N10" s="2">
        <f>-0.000423*100^3/1000</f>
        <v>-0.42299999999999999</v>
      </c>
      <c r="O10" s="2" t="s">
        <v>74</v>
      </c>
      <c r="S10">
        <v>4.7542999999999997</v>
      </c>
      <c r="T10">
        <v>0.44900000000000001</v>
      </c>
      <c r="U10" t="s">
        <v>35</v>
      </c>
    </row>
    <row r="11" spans="1:21" x14ac:dyDescent="0.25">
      <c r="A11" t="s">
        <v>17</v>
      </c>
      <c r="B11" s="2">
        <v>1146</v>
      </c>
      <c r="C11" s="2" t="s">
        <v>99</v>
      </c>
      <c r="M11">
        <f t="shared" si="0"/>
        <v>0</v>
      </c>
      <c r="N11">
        <f>-1*0*100^3/1000</f>
        <v>0</v>
      </c>
      <c r="S11">
        <v>5.0506200000000003</v>
      </c>
      <c r="T11">
        <v>0.38400000000000001</v>
      </c>
      <c r="U11" t="s">
        <v>35</v>
      </c>
    </row>
    <row r="12" spans="1:21" x14ac:dyDescent="0.25">
      <c r="A12" t="s">
        <v>18</v>
      </c>
      <c r="B12" s="2">
        <v>930</v>
      </c>
      <c r="C12" s="2" t="s">
        <v>66</v>
      </c>
      <c r="G12" s="2">
        <v>125</v>
      </c>
      <c r="H12" s="2">
        <v>-6.6600000000000006E-2</v>
      </c>
      <c r="I12" s="2" t="s">
        <v>69</v>
      </c>
      <c r="M12" s="2">
        <f>2.53*100^3/1000</f>
        <v>2530</v>
      </c>
      <c r="N12" s="2">
        <f>-0.000555*100^3/1000</f>
        <v>-0.55500000000000005</v>
      </c>
      <c r="O12" s="2" t="s">
        <v>67</v>
      </c>
      <c r="P12">
        <v>3244</v>
      </c>
      <c r="Q12">
        <v>-0.78700000000000003</v>
      </c>
      <c r="R12" t="s">
        <v>60</v>
      </c>
      <c r="S12">
        <v>2.2819600000000002</v>
      </c>
      <c r="T12">
        <v>0.82</v>
      </c>
      <c r="U12" t="s">
        <v>36</v>
      </c>
    </row>
    <row r="13" spans="1:21" x14ac:dyDescent="0.25">
      <c r="A13" t="s">
        <v>19</v>
      </c>
      <c r="B13" s="2">
        <v>930</v>
      </c>
      <c r="C13" s="2" t="s">
        <v>70</v>
      </c>
      <c r="M13" s="2">
        <f>2.13*100^3/1000</f>
        <v>2130</v>
      </c>
      <c r="N13" s="2">
        <f>-0.000568*100^3/1000</f>
        <v>-0.56799999999999995</v>
      </c>
      <c r="O13" s="2" t="s">
        <v>71</v>
      </c>
      <c r="S13">
        <v>2.85</v>
      </c>
      <c r="T13">
        <v>0.45700000000000002</v>
      </c>
      <c r="U13" t="s">
        <v>37</v>
      </c>
    </row>
    <row r="14" spans="1:21" x14ac:dyDescent="0.25">
      <c r="A14" t="s">
        <v>20</v>
      </c>
      <c r="B14">
        <v>771.15</v>
      </c>
      <c r="M14">
        <f t="shared" si="0"/>
        <v>0</v>
      </c>
      <c r="N14">
        <f>-1*0*100^3/1000</f>
        <v>0</v>
      </c>
      <c r="S14">
        <v>2.7693699999999999</v>
      </c>
      <c r="T14">
        <v>0.64100000000000001</v>
      </c>
      <c r="U14" t="s">
        <v>38</v>
      </c>
    </row>
    <row r="15" spans="1:21" x14ac:dyDescent="0.25">
      <c r="A15" t="s">
        <v>21</v>
      </c>
      <c r="B15">
        <v>779.15</v>
      </c>
      <c r="D15">
        <v>2.0394843837748207</v>
      </c>
      <c r="E15">
        <v>-1.1400197840425305E-3</v>
      </c>
      <c r="F15" t="s">
        <v>77</v>
      </c>
      <c r="M15" s="3">
        <v>2173.6332926649557</v>
      </c>
      <c r="N15" s="3">
        <v>-0.40647137412104711</v>
      </c>
      <c r="O15" t="s">
        <v>77</v>
      </c>
      <c r="S15">
        <v>2.8523999999999998</v>
      </c>
      <c r="T15">
        <v>0.39900000000000002</v>
      </c>
      <c r="U15" t="s">
        <v>39</v>
      </c>
    </row>
    <row r="16" spans="1:21" x14ac:dyDescent="0.25">
      <c r="A16" t="s">
        <v>22</v>
      </c>
      <c r="B16">
        <v>921.15</v>
      </c>
      <c r="M16" s="3">
        <v>2274.7837603736143</v>
      </c>
      <c r="N16" s="3">
        <v>-0.49170669253454402</v>
      </c>
      <c r="O16" t="s">
        <v>81</v>
      </c>
      <c r="S16">
        <v>4.0081899999999999</v>
      </c>
      <c r="T16">
        <v>0.41599999999999998</v>
      </c>
      <c r="U16" t="s">
        <v>39</v>
      </c>
    </row>
    <row r="17" spans="1:21" x14ac:dyDescent="0.25">
      <c r="A17" t="s">
        <v>23</v>
      </c>
      <c r="B17" s="2">
        <v>654</v>
      </c>
      <c r="C17" s="2" t="s">
        <v>92</v>
      </c>
      <c r="M17" s="2">
        <f>2.35*100^3/1000</f>
        <v>2350</v>
      </c>
      <c r="N17" s="2">
        <f>-1*0.000424*100^3/1000</f>
        <v>-0.42399999999999999</v>
      </c>
      <c r="O17" s="2" t="s">
        <v>93</v>
      </c>
      <c r="S17">
        <v>1.98712</v>
      </c>
      <c r="T17">
        <v>0.75</v>
      </c>
      <c r="U17" t="s">
        <v>40</v>
      </c>
    </row>
    <row r="18" spans="1:21" x14ac:dyDescent="0.25">
      <c r="A18" t="s">
        <v>24</v>
      </c>
      <c r="B18">
        <f>458+273.15</f>
        <v>731.15</v>
      </c>
      <c r="C18" t="s">
        <v>61</v>
      </c>
      <c r="G18" s="2">
        <v>79.900000000000006</v>
      </c>
      <c r="I18" s="2" t="s">
        <v>94</v>
      </c>
      <c r="M18" s="2">
        <f>2.41*100^3/1000</f>
        <v>2410</v>
      </c>
      <c r="N18" s="2">
        <f>-0.000488*100^3/1000</f>
        <v>-0.48799999999999999</v>
      </c>
      <c r="O18" s="2" t="s">
        <v>73</v>
      </c>
      <c r="S18">
        <v>2.10745</v>
      </c>
      <c r="T18">
        <v>0.79300000000000004</v>
      </c>
      <c r="U18" t="s">
        <v>41</v>
      </c>
    </row>
    <row r="19" spans="1:21" x14ac:dyDescent="0.25">
      <c r="A19" t="s">
        <v>25</v>
      </c>
      <c r="B19" s="2">
        <v>735</v>
      </c>
      <c r="C19" s="2" t="s">
        <v>63</v>
      </c>
      <c r="G19" s="2">
        <v>40.299999999999997</v>
      </c>
      <c r="H19" s="2">
        <v>4.3900000000000002E-2</v>
      </c>
      <c r="I19" s="2" t="s">
        <v>63</v>
      </c>
      <c r="M19" s="2">
        <f>2.68*100^3/1000</f>
        <v>2680</v>
      </c>
      <c r="N19" s="2">
        <f>-0.000268*100^3/1000</f>
        <v>-0.26800000000000002</v>
      </c>
      <c r="O19" s="2" t="s">
        <v>64</v>
      </c>
      <c r="P19">
        <v>3295.78</v>
      </c>
      <c r="Q19">
        <v>-1.2</v>
      </c>
      <c r="R19" t="s">
        <v>68</v>
      </c>
      <c r="S19">
        <v>2.44692</v>
      </c>
      <c r="T19">
        <v>0.69</v>
      </c>
      <c r="U19" t="s">
        <v>42</v>
      </c>
    </row>
    <row r="20" spans="1:21" x14ac:dyDescent="0.25">
      <c r="A20" t="s">
        <v>26</v>
      </c>
      <c r="B20" s="2">
        <v>958</v>
      </c>
      <c r="C20" s="2" t="s">
        <v>88</v>
      </c>
      <c r="G20" s="2">
        <v>74</v>
      </c>
      <c r="I20" s="2" t="s">
        <v>89</v>
      </c>
      <c r="M20">
        <f>2.73*100^3/1000</f>
        <v>2730</v>
      </c>
      <c r="N20">
        <f>-1*0.000658*100^3/1000</f>
        <v>-0.65800000000000003</v>
      </c>
      <c r="O20" s="2" t="s">
        <v>90</v>
      </c>
      <c r="S20">
        <v>2.581</v>
      </c>
      <c r="T20">
        <v>0.48799999999999999</v>
      </c>
      <c r="U20" t="s">
        <v>43</v>
      </c>
    </row>
    <row r="21" spans="1:21" x14ac:dyDescent="0.25">
      <c r="A21" t="s">
        <v>27</v>
      </c>
      <c r="B21">
        <v>658.15</v>
      </c>
      <c r="M21">
        <f>0*100^3/1000</f>
        <v>0</v>
      </c>
      <c r="N21">
        <f>-1*0*100^3/1000</f>
        <v>0</v>
      </c>
      <c r="S21">
        <v>2.72323</v>
      </c>
      <c r="T21">
        <v>0.34399999999999997</v>
      </c>
      <c r="U21" t="s">
        <v>44</v>
      </c>
    </row>
    <row r="22" spans="1:21" x14ac:dyDescent="0.25">
      <c r="A22" t="s">
        <v>28</v>
      </c>
      <c r="B22">
        <v>660.15</v>
      </c>
      <c r="G22" s="2">
        <v>113.26</v>
      </c>
      <c r="H22" s="2">
        <v>-3.8800000000000001E-2</v>
      </c>
      <c r="I22" s="2" t="s">
        <v>91</v>
      </c>
      <c r="M22" s="2">
        <f>2.111*100^3/1000</f>
        <v>2111</v>
      </c>
      <c r="N22" s="2">
        <f>-1*0.000564*100^3/1000</f>
        <v>-0.56399999999999995</v>
      </c>
      <c r="O22" s="2" t="s">
        <v>91</v>
      </c>
      <c r="S22">
        <v>2.8447200000000001</v>
      </c>
      <c r="T22">
        <v>0.33800000000000002</v>
      </c>
      <c r="U22" t="s">
        <v>44</v>
      </c>
    </row>
    <row r="23" spans="1:21" x14ac:dyDescent="0.25">
      <c r="A23" t="s">
        <v>29</v>
      </c>
      <c r="B23">
        <v>769.45</v>
      </c>
      <c r="D23">
        <v>0.99909443670010478</v>
      </c>
      <c r="E23">
        <v>3.6631186359415598E-6</v>
      </c>
      <c r="F23" t="s">
        <v>76</v>
      </c>
      <c r="M23" s="3">
        <v>2206.8040843620684</v>
      </c>
      <c r="N23" s="3">
        <v>-0.45101378555575411</v>
      </c>
      <c r="O23" t="s">
        <v>76</v>
      </c>
      <c r="S23">
        <v>2.8276599999999998</v>
      </c>
      <c r="T23">
        <v>0.38900000000000001</v>
      </c>
      <c r="U23" t="s">
        <v>39</v>
      </c>
    </row>
    <row r="24" spans="1:21" x14ac:dyDescent="0.25">
      <c r="A24" t="s">
        <v>30</v>
      </c>
      <c r="B24" s="2">
        <v>829</v>
      </c>
      <c r="C24" s="2" t="s">
        <v>100</v>
      </c>
      <c r="D24">
        <v>0.72959005949593636</v>
      </c>
      <c r="E24">
        <v>4.3777062303453328E-4</v>
      </c>
      <c r="F24" t="s">
        <v>75</v>
      </c>
      <c r="M24" s="3">
        <v>1908.1971250267666</v>
      </c>
      <c r="N24" s="3">
        <v>-0.21495901911997178</v>
      </c>
      <c r="O24" t="s">
        <v>75</v>
      </c>
      <c r="S24">
        <v>2.5106700000000002</v>
      </c>
      <c r="T24">
        <v>0.34300000000000003</v>
      </c>
      <c r="U24" t="s">
        <v>39</v>
      </c>
    </row>
    <row r="25" spans="1:21" x14ac:dyDescent="0.25">
      <c r="A25" t="s">
        <v>103</v>
      </c>
      <c r="B25" s="2">
        <v>957</v>
      </c>
      <c r="C25" s="2" t="s">
        <v>107</v>
      </c>
      <c r="D25">
        <v>0.77645161290322495</v>
      </c>
      <c r="F25" t="s">
        <v>118</v>
      </c>
      <c r="M25" s="3">
        <v>2302.4462564862797</v>
      </c>
      <c r="N25" s="3"/>
      <c r="O25" t="s">
        <v>115</v>
      </c>
    </row>
    <row r="26" spans="1:21" x14ac:dyDescent="0.25">
      <c r="A26" t="s">
        <v>104</v>
      </c>
      <c r="B26" s="2">
        <v>880</v>
      </c>
      <c r="C26" s="2" t="s">
        <v>107</v>
      </c>
      <c r="D26">
        <f>630.78335777126/1000</f>
        <v>0.63078335777125993</v>
      </c>
      <c r="F26" t="s">
        <v>118</v>
      </c>
      <c r="M26" s="3">
        <v>2772.1275018532201</v>
      </c>
      <c r="N26" s="3"/>
      <c r="O26" t="s">
        <v>115</v>
      </c>
    </row>
    <row r="27" spans="1:21" x14ac:dyDescent="0.25">
      <c r="A27" t="s">
        <v>105</v>
      </c>
      <c r="B27" s="2">
        <f>AVERAGE(883,879)</f>
        <v>881</v>
      </c>
      <c r="C27" s="2" t="s">
        <v>107</v>
      </c>
      <c r="D27">
        <f>527.826334398915/1000</f>
        <v>0.52782633439891502</v>
      </c>
      <c r="F27" t="s">
        <v>118</v>
      </c>
      <c r="M27" s="3">
        <v>3236.4714603409902</v>
      </c>
      <c r="N27" s="3"/>
      <c r="O27" t="s">
        <v>115</v>
      </c>
    </row>
    <row r="28" spans="1:21" x14ac:dyDescent="0.25">
      <c r="A28" t="s">
        <v>106</v>
      </c>
      <c r="B28" s="2">
        <v>815</v>
      </c>
      <c r="C28" s="2" t="s">
        <v>107</v>
      </c>
      <c r="D28">
        <v>0.46145161290322501</v>
      </c>
      <c r="F28" t="s">
        <v>118</v>
      </c>
      <c r="M28" s="3">
        <v>3918.5735024322421</v>
      </c>
      <c r="N28" s="3"/>
      <c r="O28" t="s">
        <v>117</v>
      </c>
    </row>
    <row r="29" spans="1:21" x14ac:dyDescent="0.25">
      <c r="A29" t="s">
        <v>31</v>
      </c>
      <c r="B29">
        <v>784.15</v>
      </c>
      <c r="C29" t="s">
        <v>51</v>
      </c>
      <c r="D29">
        <v>0.59</v>
      </c>
      <c r="F29" t="s">
        <v>51</v>
      </c>
      <c r="M29">
        <v>3856.7055878931224</v>
      </c>
      <c r="N29">
        <v>-0.83016388434516386</v>
      </c>
      <c r="O29" t="s">
        <v>59</v>
      </c>
      <c r="S29">
        <v>2.9199799999999998</v>
      </c>
      <c r="T29">
        <v>0.309</v>
      </c>
      <c r="U29" t="s">
        <v>45</v>
      </c>
    </row>
    <row r="30" spans="1:21" x14ac:dyDescent="0.25">
      <c r="A30" t="s">
        <v>32</v>
      </c>
      <c r="B30">
        <v>923</v>
      </c>
      <c r="M30">
        <f>0*100^3/1000</f>
        <v>0</v>
      </c>
      <c r="N30">
        <f>-1*0*100^3/1000</f>
        <v>0</v>
      </c>
      <c r="S30">
        <v>2.18981</v>
      </c>
      <c r="T30">
        <v>0.57599999999999996</v>
      </c>
      <c r="U30" t="s">
        <v>36</v>
      </c>
    </row>
    <row r="31" spans="1:21" x14ac:dyDescent="0.25">
      <c r="A31" t="s">
        <v>119</v>
      </c>
      <c r="B31" s="2">
        <v>738</v>
      </c>
      <c r="C31" s="2" t="s">
        <v>107</v>
      </c>
      <c r="M31" s="2"/>
      <c r="N31" s="2"/>
      <c r="O31" s="2"/>
      <c r="S31">
        <v>2.85</v>
      </c>
      <c r="T31">
        <v>0.45700000000000002</v>
      </c>
      <c r="U31" t="s">
        <v>37</v>
      </c>
    </row>
    <row r="32" spans="1:21" x14ac:dyDescent="0.25">
      <c r="A32" t="s">
        <v>122</v>
      </c>
      <c r="B32">
        <v>644</v>
      </c>
      <c r="C32" s="2" t="s">
        <v>107</v>
      </c>
      <c r="G32">
        <v>70.900000000000006</v>
      </c>
      <c r="I32" t="s">
        <v>123</v>
      </c>
      <c r="M32" s="2">
        <f>2.03*100^3/1000</f>
        <v>2029.9999999999998</v>
      </c>
      <c r="N32" s="2">
        <f>-0.000528*100^3/1000</f>
        <v>-0.52800000000000002</v>
      </c>
      <c r="O32" t="s">
        <v>71</v>
      </c>
      <c r="S32">
        <v>2.85</v>
      </c>
      <c r="T32">
        <v>0.45700000000000002</v>
      </c>
      <c r="U32" t="s">
        <v>37</v>
      </c>
    </row>
    <row r="33" spans="1:21" x14ac:dyDescent="0.25">
      <c r="A33" t="s">
        <v>120</v>
      </c>
      <c r="B33" s="2">
        <v>665.15</v>
      </c>
      <c r="C33" s="2" t="s">
        <v>124</v>
      </c>
      <c r="M33" s="2"/>
      <c r="N33" s="2"/>
      <c r="O33" s="2"/>
      <c r="S33">
        <v>2.85</v>
      </c>
      <c r="T33">
        <v>0.45700000000000002</v>
      </c>
      <c r="U33" t="s">
        <v>37</v>
      </c>
    </row>
    <row r="34" spans="1:21" x14ac:dyDescent="0.25">
      <c r="A34" t="s">
        <v>121</v>
      </c>
      <c r="B34" s="2">
        <v>553</v>
      </c>
      <c r="C34" s="2" t="s">
        <v>125</v>
      </c>
      <c r="M34" s="2"/>
      <c r="N34" s="2"/>
      <c r="O34" s="2"/>
    </row>
    <row r="35" spans="1:21" x14ac:dyDescent="0.25">
      <c r="B35" s="2"/>
      <c r="C35" s="2"/>
      <c r="M35" s="2"/>
      <c r="N35" s="2"/>
      <c r="O3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3A4F-5B6E-4B4E-9D17-74471FA48F2E}">
  <dimension ref="B2:P83"/>
  <sheetViews>
    <sheetView topLeftCell="A61" workbookViewId="0">
      <selection activeCell="D80" sqref="D80"/>
    </sheetView>
  </sheetViews>
  <sheetFormatPr defaultRowHeight="15" x14ac:dyDescent="0.25"/>
  <cols>
    <col min="6" max="6" width="12.28515625" bestFit="1" customWidth="1"/>
    <col min="7" max="7" width="12.7109375" bestFit="1" customWidth="1"/>
    <col min="14" max="14" width="12" bestFit="1" customWidth="1"/>
  </cols>
  <sheetData>
    <row r="2" spans="2:16" x14ac:dyDescent="0.25">
      <c r="D2" t="s">
        <v>56</v>
      </c>
      <c r="E2" t="s">
        <v>58</v>
      </c>
      <c r="M2" t="s">
        <v>84</v>
      </c>
    </row>
    <row r="3" spans="2:16" x14ac:dyDescent="0.25">
      <c r="C3" t="s">
        <v>54</v>
      </c>
      <c r="D3" t="s">
        <v>55</v>
      </c>
      <c r="E3" t="s">
        <v>55</v>
      </c>
      <c r="F3" t="s">
        <v>52</v>
      </c>
      <c r="G3" t="s">
        <v>53</v>
      </c>
      <c r="L3" t="s">
        <v>54</v>
      </c>
      <c r="M3" t="s">
        <v>85</v>
      </c>
      <c r="N3" t="s">
        <v>52</v>
      </c>
      <c r="O3" t="s">
        <v>53</v>
      </c>
      <c r="P3" t="s">
        <v>87</v>
      </c>
    </row>
    <row r="4" spans="2:16" x14ac:dyDescent="0.25">
      <c r="B4" t="s">
        <v>57</v>
      </c>
      <c r="C4">
        <v>891.99490355970295</v>
      </c>
      <c r="D4">
        <v>3.11641371120843</v>
      </c>
      <c r="E4">
        <f>D4*100^3/1000</f>
        <v>3116.41371120843</v>
      </c>
      <c r="F4">
        <f>SLOPE(E4:E13,C4:C13)</f>
        <v>-0.83016388434516386</v>
      </c>
      <c r="G4">
        <f>INTERCEPT(E4:E13,C4:C13)</f>
        <v>3856.7055878931224</v>
      </c>
      <c r="K4" t="s">
        <v>78</v>
      </c>
      <c r="L4">
        <v>822.98333655021497</v>
      </c>
      <c r="M4">
        <v>1.1032996924090299</v>
      </c>
      <c r="N4">
        <f>SLOPE(M4:M22,L4:L22)</f>
        <v>-1.1400197840425305E-3</v>
      </c>
      <c r="O4">
        <f>INTERCEPT(M4:M22,L4:L22)</f>
        <v>2.0394843837748207</v>
      </c>
      <c r="P4">
        <f>AVERAGE(M4:M22)</f>
        <v>1.0499577502224278</v>
      </c>
    </row>
    <row r="5" spans="2:16" x14ac:dyDescent="0.25">
      <c r="C5">
        <v>919.88436429143201</v>
      </c>
      <c r="D5">
        <v>3.0928543596009499</v>
      </c>
      <c r="E5">
        <f t="shared" ref="E5:E13" si="0">D5*100^3/1000</f>
        <v>3092.8543596009499</v>
      </c>
      <c r="F5">
        <f>SLOPE(D4:D13,C4:C13)</f>
        <v>-8.3016388434516467E-4</v>
      </c>
      <c r="G5">
        <f>INTERCEPT(D4:D13,C4:C13)</f>
        <v>3.8567055878931229</v>
      </c>
      <c r="H5">
        <f>F5*100^3/1000</f>
        <v>-0.83016388434516464</v>
      </c>
      <c r="I5">
        <f>G5*100^3/1000</f>
        <v>3856.7055878931228</v>
      </c>
      <c r="K5" t="s">
        <v>79</v>
      </c>
      <c r="L5">
        <v>827.91224345364401</v>
      </c>
      <c r="M5">
        <v>1.09029647534861</v>
      </c>
    </row>
    <row r="6" spans="2:16" x14ac:dyDescent="0.25">
      <c r="C6">
        <v>947.59579261976705</v>
      </c>
      <c r="D6">
        <v>3.06952127489811</v>
      </c>
      <c r="E6">
        <f t="shared" si="0"/>
        <v>3069.5212748981098</v>
      </c>
      <c r="L6">
        <v>832.993308885028</v>
      </c>
      <c r="M6">
        <v>1.0880541391471701</v>
      </c>
    </row>
    <row r="7" spans="2:16" x14ac:dyDescent="0.25">
      <c r="C7">
        <v>975.30722094810096</v>
      </c>
      <c r="D7">
        <v>3.0465551840771901</v>
      </c>
      <c r="E7">
        <f t="shared" si="0"/>
        <v>3046.5551840771905</v>
      </c>
      <c r="L7">
        <v>842.92285916489698</v>
      </c>
      <c r="M7">
        <v>1.08888026301086</v>
      </c>
    </row>
    <row r="8" spans="2:16" x14ac:dyDescent="0.25">
      <c r="C8">
        <v>1003.19668167983</v>
      </c>
      <c r="D8">
        <v>3.0244693267023601</v>
      </c>
      <c r="E8">
        <f t="shared" si="0"/>
        <v>3024.4693267023599</v>
      </c>
      <c r="L8">
        <v>847.89197709579798</v>
      </c>
      <c r="M8">
        <v>1.0843955906079801</v>
      </c>
    </row>
    <row r="9" spans="2:16" x14ac:dyDescent="0.25">
      <c r="C9">
        <v>1030.88072040764</v>
      </c>
      <c r="D9">
        <v>3.0014149366015799</v>
      </c>
      <c r="E9">
        <f t="shared" si="0"/>
        <v>3001.4149366015795</v>
      </c>
      <c r="L9">
        <v>857.84082866885399</v>
      </c>
      <c r="M9">
        <v>1.0550270244837701</v>
      </c>
    </row>
    <row r="10" spans="2:16" x14ac:dyDescent="0.25">
      <c r="C10">
        <v>1058.68116493767</v>
      </c>
      <c r="D10">
        <v>2.9782943220409002</v>
      </c>
      <c r="E10">
        <f t="shared" si="0"/>
        <v>2978.2943220409002</v>
      </c>
      <c r="L10">
        <v>862.91497780351199</v>
      </c>
      <c r="M10">
        <v>1.0432794608042</v>
      </c>
    </row>
    <row r="11" spans="2:16" x14ac:dyDescent="0.25">
      <c r="C11">
        <v>1086.4816094677001</v>
      </c>
      <c r="D11">
        <v>2.9548260290657802</v>
      </c>
      <c r="E11">
        <f t="shared" si="0"/>
        <v>2954.8260290657804</v>
      </c>
      <c r="L11">
        <v>867.92342211928201</v>
      </c>
      <c r="M11">
        <v>1.0427844040204399</v>
      </c>
    </row>
    <row r="12" spans="2:16" x14ac:dyDescent="0.25">
      <c r="C12">
        <v>1114.19988519617</v>
      </c>
      <c r="D12">
        <v>2.9315006705499198</v>
      </c>
      <c r="E12">
        <f t="shared" si="0"/>
        <v>2931.50067054992</v>
      </c>
      <c r="L12">
        <v>872.93186643505101</v>
      </c>
      <c r="M12">
        <v>1.03896443883762</v>
      </c>
    </row>
    <row r="13" spans="2:16" x14ac:dyDescent="0.25">
      <c r="C13">
        <v>1142.0003297262001</v>
      </c>
      <c r="D13">
        <v>2.9082545054506999</v>
      </c>
      <c r="E13">
        <f t="shared" si="0"/>
        <v>2908.2545054507</v>
      </c>
      <c r="L13">
        <v>882.954338654975</v>
      </c>
      <c r="M13">
        <v>1.03073968864501</v>
      </c>
    </row>
    <row r="14" spans="2:16" x14ac:dyDescent="0.25">
      <c r="L14">
        <v>887.93645049218298</v>
      </c>
      <c r="M14">
        <v>1.0343174921043801</v>
      </c>
    </row>
    <row r="15" spans="2:16" x14ac:dyDescent="0.25">
      <c r="D15" t="s">
        <v>56</v>
      </c>
      <c r="E15" t="s">
        <v>58</v>
      </c>
      <c r="L15">
        <v>892.84115035707396</v>
      </c>
      <c r="M15">
        <v>1.0180861137086701</v>
      </c>
    </row>
    <row r="16" spans="2:16" x14ac:dyDescent="0.25">
      <c r="C16" t="s">
        <v>54</v>
      </c>
      <c r="D16" t="s">
        <v>55</v>
      </c>
      <c r="E16" t="s">
        <v>55</v>
      </c>
      <c r="F16" t="s">
        <v>52</v>
      </c>
      <c r="G16" t="s">
        <v>53</v>
      </c>
      <c r="L16">
        <v>902.95333912372098</v>
      </c>
      <c r="M16">
        <v>1.0128473631279</v>
      </c>
    </row>
    <row r="17" spans="2:16" x14ac:dyDescent="0.25">
      <c r="B17" t="s">
        <v>62</v>
      </c>
      <c r="C17">
        <v>790.266570710417</v>
      </c>
      <c r="D17">
        <v>2.0300650445278698</v>
      </c>
      <c r="E17">
        <f>D17*100^3/1000</f>
        <v>2030.06504452787</v>
      </c>
      <c r="F17">
        <f>SLOPE(E17:E26,C17:C26)</f>
        <v>-0.45803472993739597</v>
      </c>
      <c r="G17">
        <f>INTERCEPT(E17:E26,C17:C26)</f>
        <v>2389.274688102932</v>
      </c>
      <c r="L17">
        <v>908.00328121984103</v>
      </c>
      <c r="M17">
        <v>1.0068071900614199</v>
      </c>
    </row>
    <row r="18" spans="2:16" x14ac:dyDescent="0.25">
      <c r="C18">
        <v>817.06350418237298</v>
      </c>
      <c r="D18">
        <v>2.01508116618287</v>
      </c>
      <c r="E18">
        <f t="shared" ref="E18:E26" si="1">D18*100^3/1000</f>
        <v>2015.08116618287</v>
      </c>
      <c r="L18">
        <v>912.94218520333095</v>
      </c>
      <c r="M18">
        <v>1.0053237350836</v>
      </c>
    </row>
    <row r="19" spans="2:16" x14ac:dyDescent="0.25">
      <c r="C19">
        <v>843.71066092522506</v>
      </c>
      <c r="D19">
        <v>1.9999959197213</v>
      </c>
      <c r="E19">
        <f t="shared" si="1"/>
        <v>1999.9959197213</v>
      </c>
      <c r="L19">
        <v>853.63636363636294</v>
      </c>
      <c r="M19">
        <v>1.0709141274238201</v>
      </c>
    </row>
    <row r="20" spans="2:16" x14ac:dyDescent="0.25">
      <c r="C20">
        <v>870.35286051865</v>
      </c>
      <c r="D20">
        <v>1.9900788886474601</v>
      </c>
      <c r="E20">
        <f t="shared" si="1"/>
        <v>1990.0788886474602</v>
      </c>
      <c r="L20">
        <v>837.87878787878799</v>
      </c>
      <c r="M20">
        <v>1.0864265927977801</v>
      </c>
    </row>
    <row r="21" spans="2:16" x14ac:dyDescent="0.25">
      <c r="C21">
        <v>895.93175156006305</v>
      </c>
      <c r="D21">
        <v>1.9800611737098199</v>
      </c>
      <c r="E21">
        <f t="shared" si="1"/>
        <v>1980.06117370982</v>
      </c>
      <c r="L21">
        <v>898.48484848484804</v>
      </c>
      <c r="M21">
        <v>1.0088642659279701</v>
      </c>
    </row>
    <row r="22" spans="2:16" x14ac:dyDescent="0.25">
      <c r="C22">
        <v>952.80282539813197</v>
      </c>
      <c r="D22">
        <v>1.95014592376732</v>
      </c>
      <c r="E22">
        <f t="shared" si="1"/>
        <v>1950.1459237673198</v>
      </c>
      <c r="L22">
        <v>877.87878787878799</v>
      </c>
      <c r="M22">
        <v>1.0398891966759001</v>
      </c>
    </row>
    <row r="23" spans="2:16" x14ac:dyDescent="0.25">
      <c r="C23">
        <v>1009.2096976006</v>
      </c>
      <c r="D23">
        <v>1.9299747850740201</v>
      </c>
      <c r="E23">
        <f t="shared" si="1"/>
        <v>1929.97478507402</v>
      </c>
    </row>
    <row r="24" spans="2:16" x14ac:dyDescent="0.25">
      <c r="C24">
        <v>1062.50896823573</v>
      </c>
      <c r="D24">
        <v>1.90016015801583</v>
      </c>
      <c r="E24">
        <f t="shared" si="1"/>
        <v>1900.1601580158299</v>
      </c>
      <c r="M24" t="s">
        <v>84</v>
      </c>
    </row>
    <row r="25" spans="2:16" x14ac:dyDescent="0.25">
      <c r="C25">
        <v>1089.0688437404699</v>
      </c>
      <c r="D25">
        <v>1.89022754233044</v>
      </c>
      <c r="E25">
        <f t="shared" si="1"/>
        <v>1890.22754233044</v>
      </c>
      <c r="L25" t="s">
        <v>54</v>
      </c>
      <c r="M25" t="s">
        <v>85</v>
      </c>
      <c r="N25" t="s">
        <v>52</v>
      </c>
      <c r="O25" t="s">
        <v>53</v>
      </c>
      <c r="P25" t="s">
        <v>87</v>
      </c>
    </row>
    <row r="26" spans="2:16" x14ac:dyDescent="0.25">
      <c r="C26">
        <v>1115.86577721242</v>
      </c>
      <c r="D26">
        <v>1.88000228420518</v>
      </c>
      <c r="E26">
        <f t="shared" si="1"/>
        <v>1880.0022842051799</v>
      </c>
      <c r="K26" t="s">
        <v>78</v>
      </c>
      <c r="L26" s="4">
        <v>822.98387096774195</v>
      </c>
      <c r="M26">
        <v>1.00110041265474</v>
      </c>
      <c r="N26">
        <f>SLOPE(M26:M31,L26:L31)</f>
        <v>3.6631186359415598E-6</v>
      </c>
      <c r="O26">
        <f>INTERCEPT(M26:M31,L26:L31)</f>
        <v>0.99909443670010478</v>
      </c>
      <c r="P26">
        <f>AVERAGE(M26:M31)</f>
        <v>1.0023842274186132</v>
      </c>
    </row>
    <row r="27" spans="2:16" x14ac:dyDescent="0.25">
      <c r="K27" t="s">
        <v>79</v>
      </c>
      <c r="L27" s="4">
        <v>853.02419354838696</v>
      </c>
      <c r="M27">
        <v>1.00302613480055</v>
      </c>
    </row>
    <row r="28" spans="2:16" x14ac:dyDescent="0.25">
      <c r="D28" t="s">
        <v>56</v>
      </c>
      <c r="E28" t="s">
        <v>58</v>
      </c>
      <c r="L28" s="4">
        <v>883.06451612903197</v>
      </c>
      <c r="M28">
        <v>1.00302613480055</v>
      </c>
    </row>
    <row r="29" spans="2:16" x14ac:dyDescent="0.25">
      <c r="C29" t="s">
        <v>54</v>
      </c>
      <c r="D29" t="s">
        <v>55</v>
      </c>
      <c r="E29" t="s">
        <v>55</v>
      </c>
      <c r="F29" t="s">
        <v>52</v>
      </c>
      <c r="G29" t="s">
        <v>53</v>
      </c>
      <c r="L29" s="4">
        <v>913.10483870967698</v>
      </c>
      <c r="M29">
        <v>1.00302613480055</v>
      </c>
      <c r="O29">
        <f>L29*N26+O26</f>
        <v>1.0024392480513507</v>
      </c>
    </row>
    <row r="30" spans="2:16" x14ac:dyDescent="0.25">
      <c r="B30" t="s">
        <v>78</v>
      </c>
      <c r="C30">
        <v>515.81450653983302</v>
      </c>
      <c r="D30">
        <v>1.96300417246175</v>
      </c>
      <c r="E30">
        <f>D30*100^3/1000</f>
        <v>1963.0041724617499</v>
      </c>
      <c r="F30">
        <f>SLOPE(E30:E39,C30:C39)</f>
        <v>-0.40647137412104711</v>
      </c>
      <c r="G30">
        <f>INTERCEPT(E30:E39,C30:C39)</f>
        <v>2173.6332926649557</v>
      </c>
      <c r="L30" s="4">
        <v>943.14516129032199</v>
      </c>
      <c r="M30">
        <v>1.00110041265474</v>
      </c>
    </row>
    <row r="31" spans="2:16" x14ac:dyDescent="0.25">
      <c r="B31" t="s">
        <v>79</v>
      </c>
      <c r="C31">
        <v>599.28656361474395</v>
      </c>
      <c r="D31">
        <v>1.92962447844228</v>
      </c>
      <c r="E31">
        <f t="shared" ref="E31:E39" si="2">D31*100^3/1000</f>
        <v>1929.6244784422802</v>
      </c>
      <c r="L31" s="4">
        <v>973.185483870967</v>
      </c>
      <c r="M31">
        <v>1.00302613480055</v>
      </c>
    </row>
    <row r="32" spans="2:16" x14ac:dyDescent="0.25">
      <c r="C32">
        <v>527.94292508917897</v>
      </c>
      <c r="D32">
        <v>1.9596662030598</v>
      </c>
      <c r="E32">
        <f t="shared" si="2"/>
        <v>1959.6662030598</v>
      </c>
      <c r="L32" s="4"/>
    </row>
    <row r="33" spans="2:16" x14ac:dyDescent="0.25">
      <c r="C33">
        <v>538.64447086801397</v>
      </c>
      <c r="D33">
        <v>1.95521557719054</v>
      </c>
      <c r="E33">
        <f t="shared" si="2"/>
        <v>1955.21557719054</v>
      </c>
      <c r="M33" t="s">
        <v>84</v>
      </c>
    </row>
    <row r="34" spans="2:16" x14ac:dyDescent="0.25">
      <c r="C34">
        <v>546.49227110582603</v>
      </c>
      <c r="D34">
        <v>1.95187760778859</v>
      </c>
      <c r="E34">
        <f t="shared" si="2"/>
        <v>1951.87760778859</v>
      </c>
      <c r="L34" t="s">
        <v>54</v>
      </c>
      <c r="M34" t="s">
        <v>85</v>
      </c>
      <c r="N34" t="s">
        <v>52</v>
      </c>
      <c r="O34" t="s">
        <v>53</v>
      </c>
      <c r="P34" t="s">
        <v>87</v>
      </c>
    </row>
    <row r="35" spans="2:16" x14ac:dyDescent="0.25">
      <c r="C35">
        <v>556.48038049940499</v>
      </c>
      <c r="D35">
        <v>1.9474269819193299</v>
      </c>
      <c r="E35">
        <f t="shared" si="2"/>
        <v>1947.4269819193298</v>
      </c>
      <c r="K35" t="s">
        <v>78</v>
      </c>
      <c r="L35" s="4">
        <v>759.67098703888303</v>
      </c>
      <c r="M35">
        <v>1.0578659370725001</v>
      </c>
      <c r="N35">
        <f>SLOPE(M35:M43,L35:L43)</f>
        <v>4.3777062303453328E-4</v>
      </c>
      <c r="O35">
        <f>INTERCEPT(M35:M43,L35:L43)</f>
        <v>0.72959005949593636</v>
      </c>
      <c r="P35">
        <f>AVERAGE(M35:M43)</f>
        <v>1.0967776257789892</v>
      </c>
    </row>
    <row r="36" spans="2:16" x14ac:dyDescent="0.25">
      <c r="C36">
        <v>567.89536266349501</v>
      </c>
      <c r="D36">
        <v>1.9418636995827501</v>
      </c>
      <c r="E36">
        <f t="shared" si="2"/>
        <v>1941.8636995827501</v>
      </c>
      <c r="K36" t="s">
        <v>83</v>
      </c>
      <c r="L36" s="4">
        <v>779.91026919242199</v>
      </c>
      <c r="M36">
        <v>1.0688098495212</v>
      </c>
    </row>
    <row r="37" spans="2:16" x14ac:dyDescent="0.25">
      <c r="C37">
        <v>576.45659928656301</v>
      </c>
      <c r="D37">
        <v>1.9396383866481199</v>
      </c>
      <c r="E37">
        <f t="shared" si="2"/>
        <v>1939.6383866481199</v>
      </c>
      <c r="L37" s="4">
        <v>799.80059820538304</v>
      </c>
      <c r="M37">
        <v>1.07865937072503</v>
      </c>
    </row>
    <row r="38" spans="2:16" x14ac:dyDescent="0.25">
      <c r="C38">
        <v>585.017835909631</v>
      </c>
      <c r="D38">
        <v>1.93630041724617</v>
      </c>
      <c r="E38">
        <f t="shared" si="2"/>
        <v>1936.3004172461699</v>
      </c>
      <c r="L38" s="4">
        <v>819.690927218345</v>
      </c>
      <c r="M38">
        <v>1.09835841313269</v>
      </c>
      <c r="O38">
        <f>L38*N35+O35</f>
        <v>1.0884266674000656</v>
      </c>
    </row>
    <row r="39" spans="2:16" x14ac:dyDescent="0.25">
      <c r="C39">
        <v>592.15219976218702</v>
      </c>
      <c r="D39">
        <v>1.93296244784422</v>
      </c>
      <c r="E39">
        <f t="shared" si="2"/>
        <v>1932.9624478442202</v>
      </c>
      <c r="L39">
        <v>839.93020937188396</v>
      </c>
      <c r="M39">
        <v>1.09835841313269</v>
      </c>
    </row>
    <row r="40" spans="2:16" x14ac:dyDescent="0.25">
      <c r="L40">
        <v>859.82053838484501</v>
      </c>
      <c r="M40">
        <v>1.1082079343365201</v>
      </c>
    </row>
    <row r="41" spans="2:16" x14ac:dyDescent="0.25">
      <c r="D41" t="s">
        <v>56</v>
      </c>
      <c r="E41" t="s">
        <v>58</v>
      </c>
      <c r="L41">
        <v>880.05982053838397</v>
      </c>
      <c r="M41">
        <v>1.11477428180574</v>
      </c>
    </row>
    <row r="42" spans="2:16" x14ac:dyDescent="0.25">
      <c r="C42" t="s">
        <v>54</v>
      </c>
      <c r="D42" t="s">
        <v>55</v>
      </c>
      <c r="E42" t="s">
        <v>55</v>
      </c>
      <c r="F42" t="s">
        <v>52</v>
      </c>
      <c r="G42" t="s">
        <v>53</v>
      </c>
      <c r="L42">
        <v>899.95014955134604</v>
      </c>
      <c r="M42">
        <v>1.1202462380300899</v>
      </c>
    </row>
    <row r="43" spans="2:16" x14ac:dyDescent="0.25">
      <c r="B43" t="s">
        <v>78</v>
      </c>
      <c r="C43">
        <v>827.061855670103</v>
      </c>
      <c r="D43">
        <v>1.86845070422535</v>
      </c>
      <c r="E43">
        <f>D43*100^3/1000</f>
        <v>1868.4507042253499</v>
      </c>
      <c r="F43">
        <f>SLOPE(E43:E52,C43:C52)</f>
        <v>-0.36403544355477097</v>
      </c>
      <c r="G43">
        <f>INTERCEPT(E43:E48,C43:C48)</f>
        <v>2274.7837603736143</v>
      </c>
      <c r="L43">
        <v>910.06979062811502</v>
      </c>
      <c r="M43">
        <v>1.1257181942544401</v>
      </c>
    </row>
    <row r="44" spans="2:16" x14ac:dyDescent="0.25">
      <c r="B44" t="s">
        <v>80</v>
      </c>
      <c r="C44">
        <v>837.11340206185503</v>
      </c>
      <c r="D44">
        <v>1.8638028169014</v>
      </c>
      <c r="E44">
        <f t="shared" ref="E44:E70" si="3">D44*100^3/1000</f>
        <v>1863.8028169014001</v>
      </c>
    </row>
    <row r="45" spans="2:16" x14ac:dyDescent="0.25">
      <c r="C45">
        <v>847.16494845360796</v>
      </c>
      <c r="D45">
        <v>1.8560563380281601</v>
      </c>
      <c r="E45">
        <f t="shared" si="3"/>
        <v>1856.0563380281601</v>
      </c>
    </row>
    <row r="46" spans="2:16" x14ac:dyDescent="0.25">
      <c r="C46">
        <v>857.21649484535999</v>
      </c>
      <c r="D46">
        <v>1.8545070422535199</v>
      </c>
      <c r="E46">
        <f t="shared" si="3"/>
        <v>1854.5070422535198</v>
      </c>
    </row>
    <row r="47" spans="2:16" x14ac:dyDescent="0.25">
      <c r="C47">
        <v>867.01030927834995</v>
      </c>
      <c r="D47">
        <v>1.8483098591549201</v>
      </c>
      <c r="E47">
        <f t="shared" si="3"/>
        <v>1848.3098591549201</v>
      </c>
    </row>
    <row r="48" spans="2:16" x14ac:dyDescent="0.25">
      <c r="C48">
        <v>877.061855670103</v>
      </c>
      <c r="D48">
        <v>1.8436619718309799</v>
      </c>
      <c r="E48">
        <f t="shared" si="3"/>
        <v>1843.6619718309798</v>
      </c>
    </row>
    <row r="50" spans="2:7" x14ac:dyDescent="0.25">
      <c r="D50" t="s">
        <v>56</v>
      </c>
      <c r="E50" t="s">
        <v>58</v>
      </c>
    </row>
    <row r="51" spans="2:7" x14ac:dyDescent="0.25">
      <c r="C51" t="s">
        <v>54</v>
      </c>
      <c r="D51" t="s">
        <v>55</v>
      </c>
      <c r="E51" t="s">
        <v>55</v>
      </c>
      <c r="F51" t="s">
        <v>52</v>
      </c>
      <c r="G51" t="s">
        <v>53</v>
      </c>
    </row>
    <row r="52" spans="2:7" x14ac:dyDescent="0.25">
      <c r="B52" t="s">
        <v>78</v>
      </c>
      <c r="C52">
        <v>510.12514220705299</v>
      </c>
      <c r="D52">
        <v>1.9795297372060801</v>
      </c>
      <c r="E52">
        <f>D52*100^3/1000</f>
        <v>1979.52973720608</v>
      </c>
      <c r="F52">
        <f>SLOPE(E52:E61,C52:C61)</f>
        <v>-0.45101378555575411</v>
      </c>
      <c r="G52">
        <f>INTERCEPT(E52:E61,C52:C61)</f>
        <v>2206.8040843620684</v>
      </c>
    </row>
    <row r="53" spans="2:7" x14ac:dyDescent="0.25">
      <c r="B53" t="s">
        <v>82</v>
      </c>
      <c r="C53">
        <v>520.136518771331</v>
      </c>
      <c r="D53">
        <v>1.9728907330567</v>
      </c>
      <c r="E53">
        <f t="shared" si="3"/>
        <v>1972.8907330567001</v>
      </c>
    </row>
    <row r="54" spans="2:7" x14ac:dyDescent="0.25">
      <c r="C54">
        <v>530.14789533560804</v>
      </c>
      <c r="D54">
        <v>1.9684647302904501</v>
      </c>
      <c r="E54">
        <f t="shared" si="3"/>
        <v>1968.4647302904502</v>
      </c>
    </row>
    <row r="55" spans="2:7" x14ac:dyDescent="0.25">
      <c r="C55">
        <v>539.70420932878199</v>
      </c>
      <c r="D55">
        <v>1.9618257261410701</v>
      </c>
      <c r="E55">
        <f t="shared" si="3"/>
        <v>1961.8257261410699</v>
      </c>
    </row>
    <row r="56" spans="2:7" x14ac:dyDescent="0.25">
      <c r="C56">
        <v>549.71558589306005</v>
      </c>
      <c r="D56">
        <v>1.95297372060857</v>
      </c>
      <c r="E56">
        <f>D56*100^3/1000</f>
        <v>1952.9737206085699</v>
      </c>
    </row>
    <row r="57" spans="2:7" x14ac:dyDescent="0.25">
      <c r="C57">
        <v>559.72696245733698</v>
      </c>
      <c r="D57">
        <v>1.95297372060857</v>
      </c>
      <c r="E57">
        <f t="shared" si="3"/>
        <v>1952.9737206085699</v>
      </c>
    </row>
    <row r="58" spans="2:7" x14ac:dyDescent="0.25">
      <c r="C58">
        <v>570.19340159271906</v>
      </c>
      <c r="D58">
        <v>1.9507607192254499</v>
      </c>
      <c r="E58">
        <f>D58*100^3/1000</f>
        <v>1950.76071922545</v>
      </c>
    </row>
    <row r="59" spans="2:7" x14ac:dyDescent="0.25">
      <c r="C59">
        <v>579.749715585893</v>
      </c>
      <c r="D59">
        <v>1.94633471645919</v>
      </c>
      <c r="E59">
        <f t="shared" si="3"/>
        <v>1946.3347164591901</v>
      </c>
    </row>
    <row r="60" spans="2:7" x14ac:dyDescent="0.25">
      <c r="C60">
        <v>590.21615472127405</v>
      </c>
      <c r="D60">
        <v>1.9441217150760699</v>
      </c>
      <c r="E60">
        <f t="shared" si="3"/>
        <v>1944.1217150760699</v>
      </c>
    </row>
    <row r="61" spans="2:7" x14ac:dyDescent="0.25">
      <c r="C61">
        <v>599.772468714448</v>
      </c>
      <c r="D61">
        <v>1.93526970954356</v>
      </c>
      <c r="E61">
        <f t="shared" si="3"/>
        <v>1935.2697095435599</v>
      </c>
    </row>
    <row r="63" spans="2:7" x14ac:dyDescent="0.25">
      <c r="D63" t="s">
        <v>56</v>
      </c>
      <c r="E63" t="s">
        <v>58</v>
      </c>
    </row>
    <row r="64" spans="2:7" x14ac:dyDescent="0.25">
      <c r="C64" t="s">
        <v>54</v>
      </c>
      <c r="D64" t="s">
        <v>55</v>
      </c>
      <c r="E64" t="s">
        <v>55</v>
      </c>
      <c r="F64" t="s">
        <v>52</v>
      </c>
      <c r="G64" t="s">
        <v>53</v>
      </c>
    </row>
    <row r="65" spans="2:16" x14ac:dyDescent="0.25">
      <c r="B65" t="s">
        <v>78</v>
      </c>
      <c r="C65">
        <v>500.11376564277498</v>
      </c>
      <c r="D65">
        <v>1.8002766251728901</v>
      </c>
      <c r="E65">
        <f>D65*100^3/1000</f>
        <v>1800.2766251728901</v>
      </c>
      <c r="F65">
        <f>SLOPE(E65:E70,C65:C70)</f>
        <v>-0.21495901911997178</v>
      </c>
      <c r="G65">
        <f>INTERCEPT(E65:E70,C65:C70)</f>
        <v>1908.1971250267666</v>
      </c>
    </row>
    <row r="66" spans="2:16" x14ac:dyDescent="0.25">
      <c r="B66" t="s">
        <v>83</v>
      </c>
      <c r="C66">
        <v>520.136518771331</v>
      </c>
      <c r="D66">
        <v>1.79585062240663</v>
      </c>
      <c r="E66">
        <f t="shared" si="3"/>
        <v>1795.8506224066298</v>
      </c>
    </row>
    <row r="67" spans="2:16" x14ac:dyDescent="0.25">
      <c r="C67">
        <v>540.15927189988599</v>
      </c>
      <c r="D67">
        <v>1.7936376210235101</v>
      </c>
      <c r="E67">
        <f t="shared" si="3"/>
        <v>1793.6376210235101</v>
      </c>
    </row>
    <row r="68" spans="2:16" x14ac:dyDescent="0.25">
      <c r="C68">
        <v>559.72696245733698</v>
      </c>
      <c r="D68">
        <v>1.7892116182572599</v>
      </c>
      <c r="E68">
        <f t="shared" si="3"/>
        <v>1789.2116182572599</v>
      </c>
    </row>
    <row r="69" spans="2:16" x14ac:dyDescent="0.25">
      <c r="C69">
        <v>580.20477815699599</v>
      </c>
      <c r="D69">
        <v>1.7803596127247501</v>
      </c>
      <c r="E69">
        <f>D69*100^3/1000</f>
        <v>1780.3596127247501</v>
      </c>
    </row>
    <row r="70" spans="2:16" x14ac:dyDescent="0.25">
      <c r="C70">
        <v>600.22753128555098</v>
      </c>
      <c r="D70">
        <v>1.7803596127247501</v>
      </c>
      <c r="E70">
        <f t="shared" si="3"/>
        <v>1780.3596127247501</v>
      </c>
    </row>
    <row r="72" spans="2:16" x14ac:dyDescent="0.25">
      <c r="B72" t="s">
        <v>112</v>
      </c>
      <c r="D72" t="s">
        <v>108</v>
      </c>
      <c r="E72" t="s">
        <v>109</v>
      </c>
      <c r="J72" t="s">
        <v>112</v>
      </c>
      <c r="L72" t="s">
        <v>56</v>
      </c>
      <c r="M72" t="s">
        <v>114</v>
      </c>
    </row>
    <row r="73" spans="2:16" x14ac:dyDescent="0.25">
      <c r="B73" t="s">
        <v>111</v>
      </c>
      <c r="C73" t="s">
        <v>110</v>
      </c>
      <c r="D73" t="s">
        <v>55</v>
      </c>
      <c r="E73" t="s">
        <v>55</v>
      </c>
      <c r="F73" t="s">
        <v>52</v>
      </c>
      <c r="G73" t="s">
        <v>53</v>
      </c>
      <c r="H73" t="s">
        <v>116</v>
      </c>
      <c r="J73" t="s">
        <v>113</v>
      </c>
      <c r="K73" t="s">
        <v>110</v>
      </c>
      <c r="L73" t="s">
        <v>55</v>
      </c>
      <c r="M73" t="s">
        <v>55</v>
      </c>
      <c r="N73" t="s">
        <v>52</v>
      </c>
      <c r="O73" t="s">
        <v>53</v>
      </c>
      <c r="P73" t="s">
        <v>116</v>
      </c>
    </row>
    <row r="74" spans="2:16" x14ac:dyDescent="0.25">
      <c r="B74">
        <v>2023</v>
      </c>
      <c r="C74">
        <v>0.14269081500646799</v>
      </c>
      <c r="D74">
        <v>0.77645161290322495</v>
      </c>
      <c r="E74">
        <f>D74*1000</f>
        <v>776.45161290322494</v>
      </c>
      <c r="F74">
        <f>SLOPE(E74:E82,C74:C82)</f>
        <v>-657.50992978061356</v>
      </c>
      <c r="G74">
        <f>INTERCEPT(E74:E82,C74:C82)</f>
        <v>810.1681482529799</v>
      </c>
      <c r="H74">
        <f>RSQ(E74:E82,C74:C82)</f>
        <v>0.87656349121925203</v>
      </c>
      <c r="J74">
        <v>2023</v>
      </c>
      <c r="K74">
        <v>0.10029886431560001</v>
      </c>
      <c r="L74">
        <v>2.0195700518902799</v>
      </c>
      <c r="M74">
        <f t="shared" ref="M74:M82" si="4">L74*100^3/1000</f>
        <v>2019.57005189028</v>
      </c>
      <c r="N74">
        <f>SLOPE(M74:M82,K74:K82)</f>
        <v>4626.6443280747881</v>
      </c>
      <c r="O74">
        <f>INTERCEPT(M74:M82,K74:K82)</f>
        <v>1605.2513383948483</v>
      </c>
      <c r="P74">
        <f>RSQ(M74:M82,K74:K82)</f>
        <v>0.99757759286633674</v>
      </c>
    </row>
    <row r="75" spans="2:16" x14ac:dyDescent="0.25">
      <c r="C75">
        <v>0.22807244501940399</v>
      </c>
      <c r="D75">
        <v>0.66354838709677399</v>
      </c>
      <c r="E75">
        <f>D75*1000</f>
        <v>663.54838709677404</v>
      </c>
      <c r="K75">
        <v>0.14979079497907899</v>
      </c>
      <c r="L75">
        <v>2.30244625648628</v>
      </c>
      <c r="M75">
        <f t="shared" si="4"/>
        <v>2302.4462564862797</v>
      </c>
    </row>
    <row r="76" spans="2:16" x14ac:dyDescent="0.25">
      <c r="C76">
        <v>0.25</v>
      </c>
      <c r="D76">
        <f>C76*F76+G76</f>
        <v>630.78335777125972</v>
      </c>
      <c r="F76" s="5">
        <f>(-E75+E77)/(-C75+C77)</f>
        <v>-1494.2399804496415</v>
      </c>
      <c r="G76">
        <f>E77-F76*C77</f>
        <v>1004.3433528836701</v>
      </c>
      <c r="K76">
        <v>0.20035863717871999</v>
      </c>
      <c r="L76">
        <v>2.5479614529280901</v>
      </c>
      <c r="M76">
        <f t="shared" si="4"/>
        <v>2547.9614529280898</v>
      </c>
    </row>
    <row r="77" spans="2:16" x14ac:dyDescent="0.25">
      <c r="C77">
        <v>0.31345407503234202</v>
      </c>
      <c r="D77">
        <v>0.53596774193548302</v>
      </c>
      <c r="E77">
        <f>D77*1000</f>
        <v>535.96774193548299</v>
      </c>
      <c r="K77">
        <v>0.22026300059772799</v>
      </c>
      <c r="L77">
        <v>2.64936990363231</v>
      </c>
      <c r="M77">
        <f t="shared" si="4"/>
        <v>2649.3699036323096</v>
      </c>
    </row>
    <row r="78" spans="2:16" x14ac:dyDescent="0.25">
      <c r="C78">
        <v>0.35</v>
      </c>
      <c r="D78">
        <f>C78*F78+G78</f>
        <v>527.82633439891458</v>
      </c>
      <c r="F78" s="5">
        <f>(-E77+E79)/(-C77+C79)</f>
        <v>-222.77196551389335</v>
      </c>
      <c r="G78">
        <f>E79-F78*C79</f>
        <v>605.7965223287772</v>
      </c>
      <c r="K78">
        <v>0.25065750149432098</v>
      </c>
      <c r="L78">
        <v>2.7721275018532201</v>
      </c>
      <c r="M78">
        <f t="shared" si="4"/>
        <v>2772.1275018532201</v>
      </c>
    </row>
    <row r="79" spans="2:16" x14ac:dyDescent="0.25">
      <c r="C79">
        <v>0.39961190168175897</v>
      </c>
      <c r="D79">
        <v>0.51677419354838705</v>
      </c>
      <c r="E79">
        <f>D79*1000</f>
        <v>516.77419354838707</v>
      </c>
      <c r="K79">
        <v>0.30014943215779999</v>
      </c>
      <c r="L79">
        <v>3.0247590808005902</v>
      </c>
      <c r="M79">
        <f t="shared" si="4"/>
        <v>3024.7590808005903</v>
      </c>
    </row>
    <row r="80" spans="2:16" x14ac:dyDescent="0.25">
      <c r="C80">
        <v>0.48576972833117699</v>
      </c>
      <c r="D80">
        <v>0.46145161290322501</v>
      </c>
      <c r="E80">
        <f>D80*1000</f>
        <v>461.451612903225</v>
      </c>
      <c r="K80">
        <v>0.35017931858936002</v>
      </c>
      <c r="L80">
        <v>3.2364714603409901</v>
      </c>
      <c r="M80">
        <f t="shared" si="4"/>
        <v>3236.4714603409902</v>
      </c>
    </row>
    <row r="81" spans="3:13" x14ac:dyDescent="0.25">
      <c r="C81">
        <v>0.57115135834411301</v>
      </c>
      <c r="D81">
        <v>0.48064516129032198</v>
      </c>
      <c r="E81">
        <f>D81*1000</f>
        <v>480.64516129032199</v>
      </c>
      <c r="K81">
        <v>0.40020920502092</v>
      </c>
      <c r="L81">
        <v>3.4428465530022199</v>
      </c>
      <c r="M81">
        <f t="shared" si="4"/>
        <v>3442.8465530022195</v>
      </c>
    </row>
    <row r="82" spans="3:13" x14ac:dyDescent="0.25">
      <c r="C82">
        <v>0.65653298835704899</v>
      </c>
      <c r="D82">
        <v>0.397096774193548</v>
      </c>
      <c r="E82">
        <f>D82*1000</f>
        <v>397.09677419354801</v>
      </c>
      <c r="K82">
        <v>0.45023909145247998</v>
      </c>
      <c r="L82">
        <v>3.6581171237954</v>
      </c>
      <c r="M82">
        <f t="shared" si="4"/>
        <v>3658.1171237953999</v>
      </c>
    </row>
    <row r="83" spans="3:13" x14ac:dyDescent="0.25">
      <c r="K83">
        <v>0.5</v>
      </c>
      <c r="M83">
        <f>$O$74+$N$74*K83</f>
        <v>3918.5735024322421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2025-10-06T18:10:27Z</dcterms:created>
  <dcterms:modified xsi:type="dcterms:W3CDTF">2025-10-28T15:12:51Z</dcterms:modified>
</cp:coreProperties>
</file>